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alagroupsa-my.sharepoint.com/personal/h_oberholzer_halagroup_com/Documents/Desktop/Pipeline Roling profitability Report/"/>
    </mc:Choice>
  </mc:AlternateContent>
  <xr:revisionPtr revIDLastSave="15" documentId="8_{8EEB65D5-2124-40AB-BDC0-AE88B659150E}" xr6:coauthVersionLast="47" xr6:coauthVersionMax="47" xr10:uidLastSave="{32269AAA-3D12-4C69-9EC3-D3CE7EF789D6}"/>
  <bookViews>
    <workbookView xWindow="36390" yWindow="-18885" windowWidth="31890" windowHeight="14265" tabRatio="682" firstSheet="1" activeTab="7" xr2:uid="{00000000-000D-0000-FFFF-FFFF00000000}"/>
  </bookViews>
  <sheets>
    <sheet name="Executive Dashboard" sheetId="1" r:id="rId1"/>
    <sheet name="Pipeline Report" sheetId="2" r:id="rId2"/>
    <sheet name="Pipeline Data Input" sheetId="3" r:id="rId3"/>
    <sheet name="Warehouse Pallet data input" sheetId="4" r:id="rId4"/>
    <sheet name="Revenue Data Input" sheetId="5" r:id="rId5"/>
    <sheet name="Closed-won data Input" sheetId="6" r:id="rId6"/>
    <sheet name="WH Revenue Data Input" sheetId="7" r:id="rId7"/>
    <sheet name="Forecast +75% - 100%" sheetId="8" r:id="rId8"/>
    <sheet name="Forecast +40% - 75%" sheetId="9" r:id="rId9"/>
  </sheets>
  <definedNames>
    <definedName name="_xlnm._FilterDatabase" localSheetId="5" hidden="1">'Closed-won data Input'!$A$2:$J$52</definedName>
    <definedName name="_xlnm._FilterDatabase" localSheetId="2" hidden="1">'Pipeline Data Input'!$A$2:$M$62</definedName>
    <definedName name="_xlnm._FilterDatabase" localSheetId="1" hidden="1">'Pipeline Report'!$A$5:$AJ$45</definedName>
    <definedName name="_xlnm.Print_Area" localSheetId="0">'Executive Dashboard'!$A$1:$M$57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" i="8" l="1"/>
  <c r="P4" i="8"/>
  <c r="H5" i="8"/>
  <c r="I5" i="8"/>
  <c r="J5" i="8"/>
  <c r="K5" i="8"/>
  <c r="L5" i="8"/>
  <c r="M5" i="8"/>
  <c r="N5" i="8"/>
  <c r="O5" i="8"/>
  <c r="D23" i="8"/>
  <c r="P22" i="8"/>
  <c r="O22" i="8"/>
  <c r="N22" i="8"/>
  <c r="M22" i="8"/>
  <c r="L22" i="8"/>
  <c r="K22" i="8"/>
  <c r="J22" i="8"/>
  <c r="I22" i="8"/>
  <c r="H22" i="8"/>
  <c r="D19" i="8"/>
  <c r="O18" i="8"/>
  <c r="N18" i="8"/>
  <c r="M18" i="8"/>
  <c r="L18" i="8"/>
  <c r="K18" i="8"/>
  <c r="J18" i="8"/>
  <c r="I18" i="8"/>
  <c r="H18" i="8"/>
  <c r="P18" i="8" s="1"/>
  <c r="G18" i="8"/>
  <c r="F18" i="8"/>
  <c r="E18" i="8"/>
  <c r="D18" i="8"/>
  <c r="F13" i="8"/>
  <c r="G13" i="8" s="1"/>
  <c r="E13" i="8"/>
  <c r="E17" i="8" s="1"/>
  <c r="E19" i="8" s="1"/>
  <c r="D13" i="8"/>
  <c r="D17" i="8" s="1"/>
  <c r="O10" i="8"/>
  <c r="N10" i="8"/>
  <c r="M10" i="8"/>
  <c r="L10" i="8"/>
  <c r="K10" i="8"/>
  <c r="J10" i="8"/>
  <c r="I10" i="8"/>
  <c r="H10" i="8"/>
  <c r="G10" i="8"/>
  <c r="F10" i="8"/>
  <c r="E10" i="8"/>
  <c r="P10" i="8" s="1"/>
  <c r="D10" i="8"/>
  <c r="E9" i="8"/>
  <c r="E11" i="8" s="1"/>
  <c r="D9" i="8"/>
  <c r="D11" i="8" s="1"/>
  <c r="E5" i="8"/>
  <c r="D5" i="8"/>
  <c r="J2" i="8"/>
  <c r="G2" i="8"/>
  <c r="O2" i="8" s="1"/>
  <c r="F2" i="8"/>
  <c r="F5" i="8" s="1"/>
  <c r="F9" i="8" s="1"/>
  <c r="F11" i="8" s="1"/>
  <c r="E2" i="8"/>
  <c r="D2" i="8"/>
  <c r="N68" i="7"/>
  <c r="M68" i="7"/>
  <c r="L68" i="7"/>
  <c r="K68" i="7"/>
  <c r="J68" i="7"/>
  <c r="I68" i="7"/>
  <c r="H68" i="7"/>
  <c r="G68" i="7"/>
  <c r="F68" i="7"/>
  <c r="E68" i="7"/>
  <c r="D68" i="7"/>
  <c r="C68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7" i="7"/>
  <c r="L11" i="6"/>
  <c r="H11" i="6"/>
  <c r="H30" i="4"/>
  <c r="G30" i="4"/>
  <c r="D30" i="4"/>
  <c r="E30" i="4" s="1"/>
  <c r="C30" i="4"/>
  <c r="B30" i="4"/>
  <c r="E29" i="4"/>
  <c r="E28" i="4"/>
  <c r="E27" i="4"/>
  <c r="E26" i="4"/>
  <c r="F25" i="4"/>
  <c r="G6" i="4" s="1"/>
  <c r="E25" i="4"/>
  <c r="D25" i="4"/>
  <c r="C25" i="4"/>
  <c r="B25" i="4"/>
  <c r="D20" i="4"/>
  <c r="I14" i="4"/>
  <c r="H14" i="4"/>
  <c r="F13" i="4"/>
  <c r="G12" i="4"/>
  <c r="F12" i="4"/>
  <c r="F11" i="4"/>
  <c r="F10" i="4"/>
  <c r="F9" i="4"/>
  <c r="J8" i="4"/>
  <c r="J14" i="4" s="1"/>
  <c r="I8" i="4"/>
  <c r="H8" i="4"/>
  <c r="K7" i="4"/>
  <c r="H7" i="4"/>
  <c r="G7" i="4"/>
  <c r="F7" i="4"/>
  <c r="E7" i="4"/>
  <c r="D7" i="4"/>
  <c r="C7" i="4"/>
  <c r="K6" i="4"/>
  <c r="H6" i="4"/>
  <c r="E6" i="4"/>
  <c r="D6" i="4"/>
  <c r="D8" i="4" s="1"/>
  <c r="C6" i="4"/>
  <c r="C8" i="4" s="1"/>
  <c r="C14" i="4" s="1"/>
  <c r="F5" i="4"/>
  <c r="F4" i="4"/>
  <c r="K47" i="3"/>
  <c r="J47" i="3"/>
  <c r="I47" i="3"/>
  <c r="H47" i="3"/>
  <c r="G47" i="3"/>
  <c r="F47" i="3"/>
  <c r="E47" i="3"/>
  <c r="D47" i="3"/>
  <c r="C47" i="3"/>
  <c r="B47" i="3"/>
  <c r="K46" i="3"/>
  <c r="J46" i="3"/>
  <c r="I46" i="3"/>
  <c r="H46" i="3"/>
  <c r="G46" i="3"/>
  <c r="F46" i="3"/>
  <c r="E46" i="3"/>
  <c r="D46" i="3"/>
  <c r="C46" i="3"/>
  <c r="B46" i="3"/>
  <c r="K45" i="3"/>
  <c r="J45" i="3"/>
  <c r="I45" i="3"/>
  <c r="H45" i="3"/>
  <c r="G45" i="3"/>
  <c r="F45" i="3"/>
  <c r="E45" i="3"/>
  <c r="D45" i="3"/>
  <c r="C45" i="3"/>
  <c r="B45" i="3"/>
  <c r="K44" i="3"/>
  <c r="J44" i="3"/>
  <c r="I44" i="3"/>
  <c r="H44" i="3"/>
  <c r="G44" i="3"/>
  <c r="F44" i="3"/>
  <c r="E44" i="3"/>
  <c r="D44" i="3"/>
  <c r="C44" i="3"/>
  <c r="B44" i="3"/>
  <c r="K43" i="3"/>
  <c r="J43" i="3"/>
  <c r="I43" i="3"/>
  <c r="H43" i="3"/>
  <c r="G43" i="3"/>
  <c r="F43" i="3"/>
  <c r="E43" i="3"/>
  <c r="D43" i="3"/>
  <c r="C43" i="3"/>
  <c r="B43" i="3"/>
  <c r="K42" i="3"/>
  <c r="J42" i="3"/>
  <c r="I42" i="3"/>
  <c r="H42" i="3"/>
  <c r="G42" i="3"/>
  <c r="F42" i="3"/>
  <c r="E42" i="3"/>
  <c r="D42" i="3"/>
  <c r="C42" i="3"/>
  <c r="B42" i="3"/>
  <c r="K41" i="3"/>
  <c r="J41" i="3"/>
  <c r="I41" i="3"/>
  <c r="H41" i="3"/>
  <c r="G41" i="3"/>
  <c r="F41" i="3"/>
  <c r="E41" i="3"/>
  <c r="D41" i="3"/>
  <c r="C41" i="3"/>
  <c r="B41" i="3"/>
  <c r="K40" i="3"/>
  <c r="J40" i="3"/>
  <c r="I40" i="3"/>
  <c r="H40" i="3"/>
  <c r="G40" i="3"/>
  <c r="F40" i="3"/>
  <c r="E40" i="3"/>
  <c r="D40" i="3"/>
  <c r="C40" i="3"/>
  <c r="B40" i="3"/>
  <c r="K39" i="3"/>
  <c r="J39" i="3"/>
  <c r="I39" i="3"/>
  <c r="H39" i="3"/>
  <c r="G39" i="3"/>
  <c r="F39" i="3"/>
  <c r="E39" i="3"/>
  <c r="D39" i="3"/>
  <c r="C39" i="3"/>
  <c r="B39" i="3"/>
  <c r="K38" i="3"/>
  <c r="J38" i="3"/>
  <c r="I38" i="3"/>
  <c r="H38" i="3"/>
  <c r="G38" i="3"/>
  <c r="F38" i="3"/>
  <c r="E38" i="3"/>
  <c r="D38" i="3"/>
  <c r="C38" i="3"/>
  <c r="B38" i="3"/>
  <c r="L191" i="2"/>
  <c r="L190" i="2"/>
  <c r="L189" i="2"/>
  <c r="E182" i="2"/>
  <c r="C182" i="2"/>
  <c r="J181" i="2"/>
  <c r="D181" i="2"/>
  <c r="I180" i="2"/>
  <c r="D180" i="2"/>
  <c r="J179" i="2"/>
  <c r="C179" i="2"/>
  <c r="I178" i="2"/>
  <c r="G178" i="2"/>
  <c r="G176" i="2"/>
  <c r="E176" i="2"/>
  <c r="E174" i="2"/>
  <c r="C174" i="2"/>
  <c r="J173" i="2"/>
  <c r="F173" i="2"/>
  <c r="J170" i="2"/>
  <c r="J182" i="2" s="1"/>
  <c r="I170" i="2"/>
  <c r="I182" i="2" s="1"/>
  <c r="H170" i="2"/>
  <c r="G170" i="2"/>
  <c r="G182" i="2" s="1"/>
  <c r="E170" i="2"/>
  <c r="F170" i="2" s="1"/>
  <c r="F182" i="2" s="1"/>
  <c r="D170" i="2"/>
  <c r="D182" i="2" s="1"/>
  <c r="C170" i="2"/>
  <c r="J169" i="2"/>
  <c r="I169" i="2"/>
  <c r="I181" i="2" s="1"/>
  <c r="H169" i="2"/>
  <c r="H181" i="2" s="1"/>
  <c r="G169" i="2"/>
  <c r="E169" i="2"/>
  <c r="F169" i="2" s="1"/>
  <c r="F181" i="2" s="1"/>
  <c r="D169" i="2"/>
  <c r="C169" i="2"/>
  <c r="C181" i="2" s="1"/>
  <c r="J168" i="2"/>
  <c r="J180" i="2" s="1"/>
  <c r="I168" i="2"/>
  <c r="H168" i="2"/>
  <c r="G168" i="2"/>
  <c r="G180" i="2" s="1"/>
  <c r="F168" i="2"/>
  <c r="F180" i="2" s="1"/>
  <c r="E168" i="2"/>
  <c r="E180" i="2" s="1"/>
  <c r="D168" i="2"/>
  <c r="C168" i="2"/>
  <c r="C180" i="2" s="1"/>
  <c r="J167" i="2"/>
  <c r="I167" i="2"/>
  <c r="I179" i="2" s="1"/>
  <c r="H167" i="2"/>
  <c r="G167" i="2"/>
  <c r="E167" i="2"/>
  <c r="D167" i="2"/>
  <c r="D179" i="2" s="1"/>
  <c r="C167" i="2"/>
  <c r="J166" i="2"/>
  <c r="J178" i="2" s="1"/>
  <c r="I166" i="2"/>
  <c r="H166" i="2"/>
  <c r="G166" i="2"/>
  <c r="F166" i="2"/>
  <c r="F178" i="2" s="1"/>
  <c r="E166" i="2"/>
  <c r="E178" i="2" s="1"/>
  <c r="D166" i="2"/>
  <c r="D178" i="2" s="1"/>
  <c r="C166" i="2"/>
  <c r="C178" i="2" s="1"/>
  <c r="E165" i="2"/>
  <c r="J164" i="2"/>
  <c r="I164" i="2"/>
  <c r="I176" i="2" s="1"/>
  <c r="H164" i="2"/>
  <c r="G164" i="2"/>
  <c r="E164" i="2"/>
  <c r="D164" i="2"/>
  <c r="D176" i="2" s="1"/>
  <c r="C164" i="2"/>
  <c r="C176" i="2" s="1"/>
  <c r="J163" i="2"/>
  <c r="J175" i="2" s="1"/>
  <c r="I163" i="2"/>
  <c r="H163" i="2"/>
  <c r="H175" i="2" s="1"/>
  <c r="E163" i="2"/>
  <c r="D163" i="2"/>
  <c r="C163" i="2"/>
  <c r="C175" i="2" s="1"/>
  <c r="J162" i="2"/>
  <c r="J174" i="2" s="1"/>
  <c r="I162" i="2"/>
  <c r="I174" i="2" s="1"/>
  <c r="H162" i="2"/>
  <c r="G162" i="2"/>
  <c r="G174" i="2" s="1"/>
  <c r="E162" i="2"/>
  <c r="D162" i="2"/>
  <c r="D174" i="2" s="1"/>
  <c r="C162" i="2"/>
  <c r="J161" i="2"/>
  <c r="I161" i="2"/>
  <c r="I173" i="2" s="1"/>
  <c r="H161" i="2"/>
  <c r="H173" i="2" s="1"/>
  <c r="G161" i="2"/>
  <c r="F161" i="2"/>
  <c r="E161" i="2"/>
  <c r="E173" i="2" s="1"/>
  <c r="D161" i="2"/>
  <c r="D173" i="2" s="1"/>
  <c r="C161" i="2"/>
  <c r="C173" i="2" s="1"/>
  <c r="N122" i="2"/>
  <c r="N105" i="2"/>
  <c r="AA89" i="2"/>
  <c r="R83" i="2"/>
  <c r="Z74" i="2"/>
  <c r="AJ65" i="2"/>
  <c r="Z65" i="2"/>
  <c r="R65" i="2"/>
  <c r="K65" i="2"/>
  <c r="K130" i="2" s="1"/>
  <c r="J65" i="2"/>
  <c r="J130" i="2" s="1"/>
  <c r="H65" i="2"/>
  <c r="I130" i="2" s="1"/>
  <c r="G65" i="2"/>
  <c r="G130" i="2" s="1"/>
  <c r="F65" i="2"/>
  <c r="F130" i="2" s="1"/>
  <c r="D65" i="2"/>
  <c r="D130" i="2" s="1"/>
  <c r="C65" i="2"/>
  <c r="C130" i="2" s="1"/>
  <c r="B65" i="2"/>
  <c r="B130" i="2" s="1"/>
  <c r="AJ64" i="2"/>
  <c r="AD64" i="2"/>
  <c r="AC64" i="2"/>
  <c r="Z64" i="2"/>
  <c r="Y64" i="2"/>
  <c r="V64" i="2"/>
  <c r="U64" i="2"/>
  <c r="R64" i="2"/>
  <c r="Q64" i="2"/>
  <c r="N64" i="2"/>
  <c r="M64" i="2"/>
  <c r="K64" i="2"/>
  <c r="K129" i="2" s="1"/>
  <c r="J64" i="2"/>
  <c r="J129" i="2" s="1"/>
  <c r="H64" i="2"/>
  <c r="I129" i="2" s="1"/>
  <c r="G64" i="2"/>
  <c r="G129" i="2" s="1"/>
  <c r="F64" i="2"/>
  <c r="F129" i="2" s="1"/>
  <c r="E64" i="2"/>
  <c r="D64" i="2"/>
  <c r="D129" i="2" s="1"/>
  <c r="C64" i="2"/>
  <c r="C129" i="2" s="1"/>
  <c r="B64" i="2"/>
  <c r="B129" i="2" s="1"/>
  <c r="AJ63" i="2"/>
  <c r="AF63" i="2"/>
  <c r="X63" i="2"/>
  <c r="P63" i="2"/>
  <c r="K63" i="2"/>
  <c r="K128" i="2" s="1"/>
  <c r="J63" i="2"/>
  <c r="J128" i="2" s="1"/>
  <c r="H63" i="2"/>
  <c r="G63" i="2"/>
  <c r="G128" i="2" s="1"/>
  <c r="F63" i="2"/>
  <c r="F128" i="2" s="1"/>
  <c r="E63" i="2"/>
  <c r="E128" i="2" s="1"/>
  <c r="D63" i="2"/>
  <c r="D128" i="2" s="1"/>
  <c r="C63" i="2"/>
  <c r="C128" i="2" s="1"/>
  <c r="B63" i="2"/>
  <c r="B128" i="2" s="1"/>
  <c r="AJ62" i="2"/>
  <c r="AA62" i="2"/>
  <c r="S62" i="2"/>
  <c r="K62" i="2"/>
  <c r="K127" i="2" s="1"/>
  <c r="J62" i="2"/>
  <c r="J127" i="2" s="1"/>
  <c r="H62" i="2"/>
  <c r="I127" i="2" s="1"/>
  <c r="G62" i="2"/>
  <c r="G127" i="2" s="1"/>
  <c r="F62" i="2"/>
  <c r="F127" i="2" s="1"/>
  <c r="D62" i="2"/>
  <c r="D127" i="2" s="1"/>
  <c r="C62" i="2"/>
  <c r="C127" i="2" s="1"/>
  <c r="B62" i="2"/>
  <c r="B127" i="2" s="1"/>
  <c r="AJ61" i="2"/>
  <c r="AD61" i="2"/>
  <c r="AA61" i="2"/>
  <c r="Z61" i="2"/>
  <c r="V61" i="2"/>
  <c r="S61" i="2"/>
  <c r="R61" i="2"/>
  <c r="N61" i="2"/>
  <c r="K61" i="2"/>
  <c r="K126" i="2" s="1"/>
  <c r="J61" i="2"/>
  <c r="J126" i="2" s="1"/>
  <c r="H61" i="2"/>
  <c r="I126" i="2" s="1"/>
  <c r="G61" i="2"/>
  <c r="G126" i="2" s="1"/>
  <c r="F61" i="2"/>
  <c r="F126" i="2" s="1"/>
  <c r="D61" i="2"/>
  <c r="D126" i="2" s="1"/>
  <c r="C61" i="2"/>
  <c r="C126" i="2" s="1"/>
  <c r="B61" i="2"/>
  <c r="B126" i="2" s="1"/>
  <c r="AJ60" i="2"/>
  <c r="AD60" i="2"/>
  <c r="AC60" i="2"/>
  <c r="AA60" i="2"/>
  <c r="Z60" i="2"/>
  <c r="Y60" i="2"/>
  <c r="V60" i="2"/>
  <c r="U60" i="2"/>
  <c r="S60" i="2"/>
  <c r="R60" i="2"/>
  <c r="Q60" i="2"/>
  <c r="N60" i="2"/>
  <c r="M60" i="2"/>
  <c r="L60" i="2"/>
  <c r="K60" i="2"/>
  <c r="K125" i="2" s="1"/>
  <c r="J60" i="2"/>
  <c r="J125" i="2" s="1"/>
  <c r="H60" i="2"/>
  <c r="I125" i="2" s="1"/>
  <c r="G60" i="2"/>
  <c r="G125" i="2" s="1"/>
  <c r="F60" i="2"/>
  <c r="F125" i="2" s="1"/>
  <c r="E60" i="2"/>
  <c r="E125" i="2" s="1"/>
  <c r="D60" i="2"/>
  <c r="D125" i="2" s="1"/>
  <c r="C60" i="2"/>
  <c r="C125" i="2" s="1"/>
  <c r="B60" i="2"/>
  <c r="B125" i="2" s="1"/>
  <c r="AJ59" i="2"/>
  <c r="AB59" i="2"/>
  <c r="Y59" i="2"/>
  <c r="Q59" i="2"/>
  <c r="L59" i="2"/>
  <c r="K59" i="2"/>
  <c r="K124" i="2" s="1"/>
  <c r="J59" i="2"/>
  <c r="J124" i="2" s="1"/>
  <c r="H59" i="2"/>
  <c r="I124" i="2" s="1"/>
  <c r="G59" i="2"/>
  <c r="G124" i="2" s="1"/>
  <c r="F59" i="2"/>
  <c r="F124" i="2" s="1"/>
  <c r="D59" i="2"/>
  <c r="C59" i="2"/>
  <c r="C124" i="2" s="1"/>
  <c r="B59" i="2"/>
  <c r="B124" i="2" s="1"/>
  <c r="AJ58" i="2"/>
  <c r="W58" i="2"/>
  <c r="O58" i="2"/>
  <c r="K58" i="2"/>
  <c r="K123" i="2" s="1"/>
  <c r="J58" i="2"/>
  <c r="J123" i="2" s="1"/>
  <c r="H58" i="2"/>
  <c r="I123" i="2" s="1"/>
  <c r="G58" i="2"/>
  <c r="AE58" i="2" s="1"/>
  <c r="F58" i="2"/>
  <c r="F123" i="2" s="1"/>
  <c r="D58" i="2"/>
  <c r="D123" i="2" s="1"/>
  <c r="C58" i="2"/>
  <c r="C123" i="2" s="1"/>
  <c r="B58" i="2"/>
  <c r="B123" i="2" s="1"/>
  <c r="AJ57" i="2"/>
  <c r="Z57" i="2"/>
  <c r="R57" i="2"/>
  <c r="K57" i="2"/>
  <c r="K122" i="2" s="1"/>
  <c r="J57" i="2"/>
  <c r="J122" i="2" s="1"/>
  <c r="H57" i="2"/>
  <c r="I122" i="2" s="1"/>
  <c r="G57" i="2"/>
  <c r="G122" i="2" s="1"/>
  <c r="F57" i="2"/>
  <c r="F122" i="2" s="1"/>
  <c r="D57" i="2"/>
  <c r="D122" i="2" s="1"/>
  <c r="C57" i="2"/>
  <c r="C122" i="2" s="1"/>
  <c r="B57" i="2"/>
  <c r="B122" i="2" s="1"/>
  <c r="AJ56" i="2"/>
  <c r="AD56" i="2"/>
  <c r="AC56" i="2"/>
  <c r="Z56" i="2"/>
  <c r="Y56" i="2"/>
  <c r="V56" i="2"/>
  <c r="U56" i="2"/>
  <c r="R56" i="2"/>
  <c r="Q56" i="2"/>
  <c r="N56" i="2"/>
  <c r="M56" i="2"/>
  <c r="K56" i="2"/>
  <c r="K121" i="2" s="1"/>
  <c r="J56" i="2"/>
  <c r="J121" i="2" s="1"/>
  <c r="H56" i="2"/>
  <c r="I121" i="2" s="1"/>
  <c r="G56" i="2"/>
  <c r="G121" i="2" s="1"/>
  <c r="F56" i="2"/>
  <c r="F121" i="2" s="1"/>
  <c r="E56" i="2"/>
  <c r="D56" i="2"/>
  <c r="D121" i="2" s="1"/>
  <c r="C56" i="2"/>
  <c r="C121" i="2" s="1"/>
  <c r="B56" i="2"/>
  <c r="B121" i="2" s="1"/>
  <c r="AJ55" i="2"/>
  <c r="K55" i="2"/>
  <c r="K120" i="2" s="1"/>
  <c r="J55" i="2"/>
  <c r="J120" i="2" s="1"/>
  <c r="H55" i="2"/>
  <c r="X55" i="2" s="1"/>
  <c r="G55" i="2"/>
  <c r="G120" i="2" s="1"/>
  <c r="F55" i="2"/>
  <c r="F120" i="2" s="1"/>
  <c r="E55" i="2"/>
  <c r="E120" i="2" s="1"/>
  <c r="D55" i="2"/>
  <c r="D120" i="2" s="1"/>
  <c r="C55" i="2"/>
  <c r="C120" i="2" s="1"/>
  <c r="B55" i="2"/>
  <c r="B120" i="2" s="1"/>
  <c r="AJ54" i="2"/>
  <c r="AA54" i="2"/>
  <c r="S54" i="2"/>
  <c r="K54" i="2"/>
  <c r="K119" i="2" s="1"/>
  <c r="J54" i="2"/>
  <c r="J119" i="2" s="1"/>
  <c r="H54" i="2"/>
  <c r="I119" i="2" s="1"/>
  <c r="G54" i="2"/>
  <c r="G119" i="2" s="1"/>
  <c r="F54" i="2"/>
  <c r="F119" i="2" s="1"/>
  <c r="D54" i="2"/>
  <c r="D119" i="2" s="1"/>
  <c r="C54" i="2"/>
  <c r="C119" i="2" s="1"/>
  <c r="B54" i="2"/>
  <c r="B119" i="2" s="1"/>
  <c r="AJ53" i="2"/>
  <c r="AD53" i="2"/>
  <c r="AA53" i="2"/>
  <c r="Z53" i="2"/>
  <c r="V53" i="2"/>
  <c r="S53" i="2"/>
  <c r="R53" i="2"/>
  <c r="N53" i="2"/>
  <c r="K53" i="2"/>
  <c r="K118" i="2" s="1"/>
  <c r="J53" i="2"/>
  <c r="J118" i="2" s="1"/>
  <c r="H53" i="2"/>
  <c r="I118" i="2" s="1"/>
  <c r="G53" i="2"/>
  <c r="G118" i="2" s="1"/>
  <c r="F53" i="2"/>
  <c r="F118" i="2" s="1"/>
  <c r="D53" i="2"/>
  <c r="D118" i="2" s="1"/>
  <c r="C53" i="2"/>
  <c r="C118" i="2" s="1"/>
  <c r="B53" i="2"/>
  <c r="B118" i="2" s="1"/>
  <c r="AJ52" i="2"/>
  <c r="AD52" i="2"/>
  <c r="AC52" i="2"/>
  <c r="AA52" i="2"/>
  <c r="Z52" i="2"/>
  <c r="Y52" i="2"/>
  <c r="V52" i="2"/>
  <c r="U52" i="2"/>
  <c r="S52" i="2"/>
  <c r="R52" i="2"/>
  <c r="Q52" i="2"/>
  <c r="N52" i="2"/>
  <c r="M52" i="2"/>
  <c r="K52" i="2"/>
  <c r="K117" i="2" s="1"/>
  <c r="J52" i="2"/>
  <c r="J117" i="2" s="1"/>
  <c r="H52" i="2"/>
  <c r="I117" i="2" s="1"/>
  <c r="G52" i="2"/>
  <c r="G117" i="2" s="1"/>
  <c r="F52" i="2"/>
  <c r="F117" i="2" s="1"/>
  <c r="E52" i="2"/>
  <c r="E117" i="2" s="1"/>
  <c r="D52" i="2"/>
  <c r="D117" i="2" s="1"/>
  <c r="C52" i="2"/>
  <c r="C117" i="2" s="1"/>
  <c r="B52" i="2"/>
  <c r="B117" i="2" s="1"/>
  <c r="AJ51" i="2"/>
  <c r="AB51" i="2"/>
  <c r="Y51" i="2"/>
  <c r="Q51" i="2"/>
  <c r="L51" i="2"/>
  <c r="K51" i="2"/>
  <c r="K116" i="2" s="1"/>
  <c r="J51" i="2"/>
  <c r="J116" i="2" s="1"/>
  <c r="H51" i="2"/>
  <c r="I116" i="2" s="1"/>
  <c r="G51" i="2"/>
  <c r="G116" i="2" s="1"/>
  <c r="F51" i="2"/>
  <c r="F116" i="2" s="1"/>
  <c r="D51" i="2"/>
  <c r="C51" i="2"/>
  <c r="C116" i="2" s="1"/>
  <c r="B51" i="2"/>
  <c r="B116" i="2" s="1"/>
  <c r="AJ50" i="2"/>
  <c r="K50" i="2"/>
  <c r="K115" i="2" s="1"/>
  <c r="J50" i="2"/>
  <c r="J115" i="2" s="1"/>
  <c r="H50" i="2"/>
  <c r="I115" i="2" s="1"/>
  <c r="G50" i="2"/>
  <c r="F50" i="2"/>
  <c r="F115" i="2" s="1"/>
  <c r="D50" i="2"/>
  <c r="D115" i="2" s="1"/>
  <c r="C50" i="2"/>
  <c r="C115" i="2" s="1"/>
  <c r="B50" i="2"/>
  <c r="B115" i="2" s="1"/>
  <c r="AJ49" i="2"/>
  <c r="Z49" i="2"/>
  <c r="R49" i="2"/>
  <c r="K49" i="2"/>
  <c r="K114" i="2" s="1"/>
  <c r="J49" i="2"/>
  <c r="J114" i="2" s="1"/>
  <c r="H49" i="2"/>
  <c r="I114" i="2" s="1"/>
  <c r="G49" i="2"/>
  <c r="G114" i="2" s="1"/>
  <c r="F49" i="2"/>
  <c r="F114" i="2" s="1"/>
  <c r="D49" i="2"/>
  <c r="D114" i="2" s="1"/>
  <c r="C49" i="2"/>
  <c r="C114" i="2" s="1"/>
  <c r="B49" i="2"/>
  <c r="B114" i="2" s="1"/>
  <c r="AJ48" i="2"/>
  <c r="AD48" i="2"/>
  <c r="AC48" i="2"/>
  <c r="AB48" i="2"/>
  <c r="Z48" i="2"/>
  <c r="Y48" i="2"/>
  <c r="V48" i="2"/>
  <c r="U48" i="2"/>
  <c r="R48" i="2"/>
  <c r="Q48" i="2"/>
  <c r="N48" i="2"/>
  <c r="M48" i="2"/>
  <c r="L48" i="2"/>
  <c r="K48" i="2"/>
  <c r="K113" i="2" s="1"/>
  <c r="J48" i="2"/>
  <c r="J113" i="2" s="1"/>
  <c r="H48" i="2"/>
  <c r="I113" i="2" s="1"/>
  <c r="G48" i="2"/>
  <c r="G113" i="2" s="1"/>
  <c r="F48" i="2"/>
  <c r="F113" i="2" s="1"/>
  <c r="E48" i="2"/>
  <c r="D48" i="2"/>
  <c r="D113" i="2" s="1"/>
  <c r="C48" i="2"/>
  <c r="C113" i="2" s="1"/>
  <c r="B48" i="2"/>
  <c r="B113" i="2" s="1"/>
  <c r="AJ47" i="2"/>
  <c r="AF47" i="2"/>
  <c r="X47" i="2"/>
  <c r="K47" i="2"/>
  <c r="K112" i="2" s="1"/>
  <c r="J47" i="2"/>
  <c r="J112" i="2" s="1"/>
  <c r="H47" i="2"/>
  <c r="G47" i="2"/>
  <c r="G112" i="2" s="1"/>
  <c r="F47" i="2"/>
  <c r="F112" i="2" s="1"/>
  <c r="D47" i="2"/>
  <c r="D112" i="2" s="1"/>
  <c r="C47" i="2"/>
  <c r="C112" i="2" s="1"/>
  <c r="B47" i="2"/>
  <c r="B112" i="2" s="1"/>
  <c r="AJ46" i="2"/>
  <c r="AA46" i="2"/>
  <c r="S46" i="2"/>
  <c r="K46" i="2"/>
  <c r="K111" i="2" s="1"/>
  <c r="J46" i="2"/>
  <c r="J111" i="2" s="1"/>
  <c r="H46" i="2"/>
  <c r="I111" i="2" s="1"/>
  <c r="G46" i="2"/>
  <c r="G111" i="2" s="1"/>
  <c r="F46" i="2"/>
  <c r="F111" i="2" s="1"/>
  <c r="D46" i="2"/>
  <c r="D111" i="2" s="1"/>
  <c r="C46" i="2"/>
  <c r="C111" i="2" s="1"/>
  <c r="B46" i="2"/>
  <c r="B111" i="2" s="1"/>
  <c r="AJ45" i="2"/>
  <c r="AD45" i="2"/>
  <c r="AA45" i="2"/>
  <c r="Z45" i="2"/>
  <c r="V45" i="2"/>
  <c r="S45" i="2"/>
  <c r="R45" i="2"/>
  <c r="N45" i="2"/>
  <c r="K45" i="2"/>
  <c r="K110" i="2" s="1"/>
  <c r="J45" i="2"/>
  <c r="J110" i="2" s="1"/>
  <c r="H45" i="2"/>
  <c r="I110" i="2" s="1"/>
  <c r="G45" i="2"/>
  <c r="G110" i="2" s="1"/>
  <c r="F45" i="2"/>
  <c r="F110" i="2" s="1"/>
  <c r="E45" i="2"/>
  <c r="E110" i="2" s="1"/>
  <c r="D45" i="2"/>
  <c r="D110" i="2" s="1"/>
  <c r="C45" i="2"/>
  <c r="C110" i="2" s="1"/>
  <c r="B45" i="2"/>
  <c r="B110" i="2" s="1"/>
  <c r="AJ44" i="2"/>
  <c r="AD44" i="2"/>
  <c r="AC44" i="2"/>
  <c r="Z44" i="2"/>
  <c r="Y44" i="2"/>
  <c r="V44" i="2"/>
  <c r="U44" i="2"/>
  <c r="R44" i="2"/>
  <c r="Q44" i="2"/>
  <c r="N44" i="2"/>
  <c r="M44" i="2"/>
  <c r="K44" i="2"/>
  <c r="K109" i="2" s="1"/>
  <c r="J44" i="2"/>
  <c r="J109" i="2" s="1"/>
  <c r="H44" i="2"/>
  <c r="I109" i="2" s="1"/>
  <c r="G44" i="2"/>
  <c r="G109" i="2" s="1"/>
  <c r="V109" i="2" s="1"/>
  <c r="F44" i="2"/>
  <c r="F109" i="2" s="1"/>
  <c r="E44" i="2"/>
  <c r="D44" i="2"/>
  <c r="D109" i="2" s="1"/>
  <c r="C44" i="2"/>
  <c r="C109" i="2" s="1"/>
  <c r="B44" i="2"/>
  <c r="B109" i="2" s="1"/>
  <c r="AJ43" i="2"/>
  <c r="AF43" i="2"/>
  <c r="AB43" i="2"/>
  <c r="Q43" i="2"/>
  <c r="L43" i="2"/>
  <c r="K43" i="2"/>
  <c r="K108" i="2" s="1"/>
  <c r="J43" i="2"/>
  <c r="J108" i="2" s="1"/>
  <c r="H43" i="2"/>
  <c r="P43" i="2" s="1"/>
  <c r="G43" i="2"/>
  <c r="G108" i="2" s="1"/>
  <c r="F43" i="2"/>
  <c r="F108" i="2" s="1"/>
  <c r="D43" i="2"/>
  <c r="C43" i="2"/>
  <c r="C108" i="2" s="1"/>
  <c r="B43" i="2"/>
  <c r="B108" i="2" s="1"/>
  <c r="AJ42" i="2"/>
  <c r="AA42" i="2"/>
  <c r="S42" i="2"/>
  <c r="O42" i="2"/>
  <c r="K42" i="2"/>
  <c r="K107" i="2" s="1"/>
  <c r="J42" i="2"/>
  <c r="J107" i="2" s="1"/>
  <c r="H42" i="2"/>
  <c r="I107" i="2" s="1"/>
  <c r="G42" i="2"/>
  <c r="F42" i="2"/>
  <c r="F107" i="2" s="1"/>
  <c r="D42" i="2"/>
  <c r="C42" i="2"/>
  <c r="C107" i="2" s="1"/>
  <c r="B42" i="2"/>
  <c r="B107" i="2" s="1"/>
  <c r="AJ41" i="2"/>
  <c r="K41" i="2"/>
  <c r="K106" i="2" s="1"/>
  <c r="J41" i="2"/>
  <c r="J106" i="2" s="1"/>
  <c r="H41" i="2"/>
  <c r="I106" i="2" s="1"/>
  <c r="G41" i="2"/>
  <c r="N41" i="2" s="1"/>
  <c r="F41" i="2"/>
  <c r="F106" i="2" s="1"/>
  <c r="D41" i="2"/>
  <c r="D106" i="2" s="1"/>
  <c r="C41" i="2"/>
  <c r="C106" i="2" s="1"/>
  <c r="B41" i="2"/>
  <c r="B106" i="2" s="1"/>
  <c r="AJ40" i="2"/>
  <c r="AD40" i="2"/>
  <c r="AC40" i="2"/>
  <c r="AB40" i="2"/>
  <c r="Z40" i="2"/>
  <c r="Y40" i="2"/>
  <c r="V40" i="2"/>
  <c r="U40" i="2"/>
  <c r="R40" i="2"/>
  <c r="Q40" i="2"/>
  <c r="N40" i="2"/>
  <c r="M40" i="2"/>
  <c r="L40" i="2"/>
  <c r="K40" i="2"/>
  <c r="K105" i="2" s="1"/>
  <c r="J40" i="2"/>
  <c r="J105" i="2" s="1"/>
  <c r="H40" i="2"/>
  <c r="I105" i="2" s="1"/>
  <c r="G40" i="2"/>
  <c r="G105" i="2" s="1"/>
  <c r="F40" i="2"/>
  <c r="F105" i="2" s="1"/>
  <c r="E40" i="2"/>
  <c r="D40" i="2"/>
  <c r="D105" i="2" s="1"/>
  <c r="C40" i="2"/>
  <c r="C105" i="2" s="1"/>
  <c r="B40" i="2"/>
  <c r="B105" i="2" s="1"/>
  <c r="AJ39" i="2"/>
  <c r="AF39" i="2"/>
  <c r="AC39" i="2"/>
  <c r="AB39" i="2"/>
  <c r="U39" i="2"/>
  <c r="P39" i="2"/>
  <c r="M39" i="2"/>
  <c r="L39" i="2"/>
  <c r="K39" i="2"/>
  <c r="K104" i="2" s="1"/>
  <c r="J39" i="2"/>
  <c r="J104" i="2" s="1"/>
  <c r="H39" i="2"/>
  <c r="G39" i="2"/>
  <c r="G104" i="2" s="1"/>
  <c r="F39" i="2"/>
  <c r="F104" i="2" s="1"/>
  <c r="E39" i="2"/>
  <c r="D39" i="2"/>
  <c r="D104" i="2" s="1"/>
  <c r="C39" i="2"/>
  <c r="C104" i="2" s="1"/>
  <c r="B39" i="2"/>
  <c r="B104" i="2" s="1"/>
  <c r="AJ38" i="2"/>
  <c r="S38" i="2"/>
  <c r="P38" i="2"/>
  <c r="K38" i="2"/>
  <c r="K103" i="2" s="1"/>
  <c r="J38" i="2"/>
  <c r="J103" i="2" s="1"/>
  <c r="H38" i="2"/>
  <c r="I103" i="2" s="1"/>
  <c r="G38" i="2"/>
  <c r="F38" i="2"/>
  <c r="F103" i="2" s="1"/>
  <c r="D38" i="2"/>
  <c r="D103" i="2" s="1"/>
  <c r="C38" i="2"/>
  <c r="C103" i="2" s="1"/>
  <c r="B38" i="2"/>
  <c r="B103" i="2" s="1"/>
  <c r="AJ37" i="2"/>
  <c r="AD37" i="2"/>
  <c r="AA37" i="2"/>
  <c r="Z37" i="2"/>
  <c r="V37" i="2"/>
  <c r="S37" i="2"/>
  <c r="R37" i="2"/>
  <c r="N37" i="2"/>
  <c r="K37" i="2"/>
  <c r="K102" i="2" s="1"/>
  <c r="J37" i="2"/>
  <c r="J102" i="2" s="1"/>
  <c r="H37" i="2"/>
  <c r="I102" i="2" s="1"/>
  <c r="G37" i="2"/>
  <c r="G102" i="2" s="1"/>
  <c r="F37" i="2"/>
  <c r="F102" i="2" s="1"/>
  <c r="E37" i="2"/>
  <c r="E102" i="2" s="1"/>
  <c r="D37" i="2"/>
  <c r="D102" i="2" s="1"/>
  <c r="C37" i="2"/>
  <c r="C102" i="2" s="1"/>
  <c r="B37" i="2"/>
  <c r="B102" i="2" s="1"/>
  <c r="AJ36" i="2"/>
  <c r="AD36" i="2"/>
  <c r="AC36" i="2"/>
  <c r="Z36" i="2"/>
  <c r="Y36" i="2"/>
  <c r="V36" i="2"/>
  <c r="U36" i="2"/>
  <c r="R36" i="2"/>
  <c r="Q36" i="2"/>
  <c r="N36" i="2"/>
  <c r="M36" i="2"/>
  <c r="K36" i="2"/>
  <c r="K101" i="2" s="1"/>
  <c r="J36" i="2"/>
  <c r="J101" i="2" s="1"/>
  <c r="H36" i="2"/>
  <c r="I101" i="2" s="1"/>
  <c r="G36" i="2"/>
  <c r="G101" i="2" s="1"/>
  <c r="Q101" i="2" s="1"/>
  <c r="F36" i="2"/>
  <c r="F101" i="2" s="1"/>
  <c r="E36" i="2"/>
  <c r="D36" i="2"/>
  <c r="D101" i="2" s="1"/>
  <c r="C36" i="2"/>
  <c r="C101" i="2" s="1"/>
  <c r="B36" i="2"/>
  <c r="B101" i="2" s="1"/>
  <c r="AJ35" i="2"/>
  <c r="Y35" i="2"/>
  <c r="K35" i="2"/>
  <c r="K100" i="2" s="1"/>
  <c r="J35" i="2"/>
  <c r="J100" i="2" s="1"/>
  <c r="H35" i="2"/>
  <c r="G35" i="2"/>
  <c r="F35" i="2"/>
  <c r="F100" i="2" s="1"/>
  <c r="D35" i="2"/>
  <c r="C35" i="2"/>
  <c r="C100" i="2" s="1"/>
  <c r="B35" i="2"/>
  <c r="B100" i="2" s="1"/>
  <c r="AJ34" i="2"/>
  <c r="AE34" i="2"/>
  <c r="S34" i="2"/>
  <c r="O34" i="2"/>
  <c r="L34" i="2"/>
  <c r="K34" i="2"/>
  <c r="K99" i="2" s="1"/>
  <c r="J34" i="2"/>
  <c r="J99" i="2" s="1"/>
  <c r="H34" i="2"/>
  <c r="I99" i="2" s="1"/>
  <c r="G34" i="2"/>
  <c r="F34" i="2"/>
  <c r="F99" i="2" s="1"/>
  <c r="D34" i="2"/>
  <c r="C34" i="2"/>
  <c r="C99" i="2" s="1"/>
  <c r="B34" i="2"/>
  <c r="B99" i="2" s="1"/>
  <c r="AJ33" i="2"/>
  <c r="Z33" i="2"/>
  <c r="V33" i="2"/>
  <c r="R33" i="2"/>
  <c r="O33" i="2"/>
  <c r="K33" i="2"/>
  <c r="K98" i="2" s="1"/>
  <c r="J33" i="2"/>
  <c r="J98" i="2" s="1"/>
  <c r="H33" i="2"/>
  <c r="I98" i="2" s="1"/>
  <c r="G33" i="2"/>
  <c r="F33" i="2"/>
  <c r="F98" i="2" s="1"/>
  <c r="D33" i="2"/>
  <c r="D98" i="2" s="1"/>
  <c r="C33" i="2"/>
  <c r="C98" i="2" s="1"/>
  <c r="B33" i="2"/>
  <c r="B98" i="2" s="1"/>
  <c r="AJ32" i="2"/>
  <c r="AD32" i="2"/>
  <c r="AC32" i="2"/>
  <c r="AB32" i="2"/>
  <c r="Z32" i="2"/>
  <c r="Y32" i="2"/>
  <c r="V32" i="2"/>
  <c r="U32" i="2"/>
  <c r="R32" i="2"/>
  <c r="Q32" i="2"/>
  <c r="N32" i="2"/>
  <c r="M32" i="2"/>
  <c r="L32" i="2"/>
  <c r="K32" i="2"/>
  <c r="K97" i="2" s="1"/>
  <c r="J32" i="2"/>
  <c r="J97" i="2" s="1"/>
  <c r="H32" i="2"/>
  <c r="I97" i="2" s="1"/>
  <c r="G32" i="2"/>
  <c r="G97" i="2" s="1"/>
  <c r="F32" i="2"/>
  <c r="F97" i="2" s="1"/>
  <c r="E32" i="2"/>
  <c r="D32" i="2"/>
  <c r="D97" i="2" s="1"/>
  <c r="C32" i="2"/>
  <c r="C97" i="2" s="1"/>
  <c r="B32" i="2"/>
  <c r="B97" i="2" s="1"/>
  <c r="AJ31" i="2"/>
  <c r="AF31" i="2"/>
  <c r="AC31" i="2"/>
  <c r="AB31" i="2"/>
  <c r="Y31" i="2"/>
  <c r="Q31" i="2"/>
  <c r="P31" i="2"/>
  <c r="M31" i="2"/>
  <c r="L31" i="2"/>
  <c r="K31" i="2"/>
  <c r="K96" i="2" s="1"/>
  <c r="J31" i="2"/>
  <c r="J96" i="2" s="1"/>
  <c r="H31" i="2"/>
  <c r="I96" i="2" s="1"/>
  <c r="G31" i="2"/>
  <c r="G96" i="2" s="1"/>
  <c r="L96" i="2" s="1"/>
  <c r="F31" i="2"/>
  <c r="F96" i="2" s="1"/>
  <c r="D31" i="2"/>
  <c r="D96" i="2" s="1"/>
  <c r="C31" i="2"/>
  <c r="C96" i="2" s="1"/>
  <c r="B31" i="2"/>
  <c r="B96" i="2" s="1"/>
  <c r="AJ30" i="2"/>
  <c r="AF30" i="2"/>
  <c r="AE30" i="2"/>
  <c r="AB30" i="2"/>
  <c r="AA30" i="2"/>
  <c r="X30" i="2"/>
  <c r="S30" i="2"/>
  <c r="P30" i="2"/>
  <c r="O30" i="2"/>
  <c r="L30" i="2"/>
  <c r="K30" i="2"/>
  <c r="K95" i="2" s="1"/>
  <c r="J30" i="2"/>
  <c r="J95" i="2" s="1"/>
  <c r="H30" i="2"/>
  <c r="I95" i="2" s="1"/>
  <c r="G30" i="2"/>
  <c r="F30" i="2"/>
  <c r="F95" i="2" s="1"/>
  <c r="D30" i="2"/>
  <c r="C30" i="2"/>
  <c r="C95" i="2" s="1"/>
  <c r="B30" i="2"/>
  <c r="B95" i="2" s="1"/>
  <c r="AJ29" i="2"/>
  <c r="K29" i="2"/>
  <c r="K94" i="2" s="1"/>
  <c r="J29" i="2"/>
  <c r="J94" i="2" s="1"/>
  <c r="H29" i="2"/>
  <c r="I94" i="2" s="1"/>
  <c r="G29" i="2"/>
  <c r="S29" i="2" s="1"/>
  <c r="F29" i="2"/>
  <c r="F94" i="2" s="1"/>
  <c r="E29" i="2"/>
  <c r="E94" i="2" s="1"/>
  <c r="D29" i="2"/>
  <c r="D94" i="2" s="1"/>
  <c r="C29" i="2"/>
  <c r="C94" i="2" s="1"/>
  <c r="B29" i="2"/>
  <c r="B94" i="2" s="1"/>
  <c r="AJ28" i="2"/>
  <c r="AD28" i="2"/>
  <c r="V28" i="2"/>
  <c r="Q28" i="2"/>
  <c r="P28" i="2"/>
  <c r="K28" i="2"/>
  <c r="K93" i="2" s="1"/>
  <c r="J28" i="2"/>
  <c r="J93" i="2" s="1"/>
  <c r="H28" i="2"/>
  <c r="G28" i="2"/>
  <c r="G93" i="2" s="1"/>
  <c r="F28" i="2"/>
  <c r="F93" i="2" s="1"/>
  <c r="E28" i="2"/>
  <c r="D28" i="2"/>
  <c r="D93" i="2" s="1"/>
  <c r="C28" i="2"/>
  <c r="C93" i="2" s="1"/>
  <c r="B28" i="2"/>
  <c r="B93" i="2" s="1"/>
  <c r="AJ27" i="2"/>
  <c r="K27" i="2"/>
  <c r="K92" i="2" s="1"/>
  <c r="J27" i="2"/>
  <c r="J92" i="2" s="1"/>
  <c r="H27" i="2"/>
  <c r="I92" i="2" s="1"/>
  <c r="G27" i="2"/>
  <c r="G92" i="2" s="1"/>
  <c r="F27" i="2"/>
  <c r="F92" i="2" s="1"/>
  <c r="D27" i="2"/>
  <c r="D92" i="2" s="1"/>
  <c r="C27" i="2"/>
  <c r="C92" i="2" s="1"/>
  <c r="B27" i="2"/>
  <c r="B92" i="2" s="1"/>
  <c r="AJ26" i="2"/>
  <c r="AD26" i="2"/>
  <c r="AB26" i="2"/>
  <c r="AA26" i="2"/>
  <c r="X26" i="2"/>
  <c r="W26" i="2"/>
  <c r="V26" i="2"/>
  <c r="P26" i="2"/>
  <c r="O26" i="2"/>
  <c r="N26" i="2"/>
  <c r="L26" i="2"/>
  <c r="K26" i="2"/>
  <c r="K91" i="2" s="1"/>
  <c r="J26" i="2"/>
  <c r="J91" i="2" s="1"/>
  <c r="H26" i="2"/>
  <c r="I91" i="2" s="1"/>
  <c r="G26" i="2"/>
  <c r="F26" i="2"/>
  <c r="F91" i="2" s="1"/>
  <c r="D26" i="2"/>
  <c r="C26" i="2"/>
  <c r="C91" i="2" s="1"/>
  <c r="B26" i="2"/>
  <c r="B91" i="2" s="1"/>
  <c r="AJ25" i="2"/>
  <c r="AD25" i="2"/>
  <c r="AA25" i="2"/>
  <c r="Z25" i="2"/>
  <c r="Y25" i="2"/>
  <c r="W25" i="2"/>
  <c r="Q25" i="2"/>
  <c r="O25" i="2"/>
  <c r="N25" i="2"/>
  <c r="K25" i="2"/>
  <c r="K90" i="2" s="1"/>
  <c r="J25" i="2"/>
  <c r="J90" i="2" s="1"/>
  <c r="H25" i="2"/>
  <c r="I90" i="2" s="1"/>
  <c r="G25" i="2"/>
  <c r="F25" i="2"/>
  <c r="F90" i="2" s="1"/>
  <c r="D25" i="2"/>
  <c r="D90" i="2" s="1"/>
  <c r="C25" i="2"/>
  <c r="C90" i="2" s="1"/>
  <c r="B25" i="2"/>
  <c r="B90" i="2" s="1"/>
  <c r="AJ24" i="2"/>
  <c r="AD24" i="2"/>
  <c r="AC24" i="2"/>
  <c r="AB24" i="2"/>
  <c r="Z24" i="2"/>
  <c r="Y24" i="2"/>
  <c r="V24" i="2"/>
  <c r="U24" i="2"/>
  <c r="R24" i="2"/>
  <c r="Q24" i="2"/>
  <c r="N24" i="2"/>
  <c r="M24" i="2"/>
  <c r="L24" i="2"/>
  <c r="K24" i="2"/>
  <c r="K89" i="2" s="1"/>
  <c r="J24" i="2"/>
  <c r="J89" i="2" s="1"/>
  <c r="H24" i="2"/>
  <c r="I89" i="2" s="1"/>
  <c r="G24" i="2"/>
  <c r="G89" i="2" s="1"/>
  <c r="F24" i="2"/>
  <c r="F89" i="2" s="1"/>
  <c r="D24" i="2"/>
  <c r="D89" i="2" s="1"/>
  <c r="C24" i="2"/>
  <c r="C89" i="2" s="1"/>
  <c r="B24" i="2"/>
  <c r="B89" i="2" s="1"/>
  <c r="AJ23" i="2"/>
  <c r="AF23" i="2"/>
  <c r="AB23" i="2"/>
  <c r="Y23" i="2"/>
  <c r="O23" i="2"/>
  <c r="M23" i="2"/>
  <c r="K23" i="2"/>
  <c r="K88" i="2" s="1"/>
  <c r="J23" i="2"/>
  <c r="J88" i="2" s="1"/>
  <c r="H23" i="2"/>
  <c r="I88" i="2" s="1"/>
  <c r="G23" i="2"/>
  <c r="F23" i="2"/>
  <c r="F88" i="2" s="1"/>
  <c r="E23" i="2"/>
  <c r="D23" i="2"/>
  <c r="D88" i="2" s="1"/>
  <c r="C23" i="2"/>
  <c r="C88" i="2" s="1"/>
  <c r="B23" i="2"/>
  <c r="B88" i="2" s="1"/>
  <c r="AJ22" i="2"/>
  <c r="K22" i="2"/>
  <c r="K87" i="2" s="1"/>
  <c r="J22" i="2"/>
  <c r="J87" i="2" s="1"/>
  <c r="H22" i="2"/>
  <c r="I87" i="2" s="1"/>
  <c r="G22" i="2"/>
  <c r="AA22" i="2" s="1"/>
  <c r="F22" i="2"/>
  <c r="F87" i="2" s="1"/>
  <c r="E22" i="2"/>
  <c r="E87" i="2" s="1"/>
  <c r="D22" i="2"/>
  <c r="D87" i="2" s="1"/>
  <c r="C22" i="2"/>
  <c r="C87" i="2" s="1"/>
  <c r="B22" i="2"/>
  <c r="B87" i="2" s="1"/>
  <c r="AJ21" i="2"/>
  <c r="AD21" i="2"/>
  <c r="AC21" i="2"/>
  <c r="AB21" i="2"/>
  <c r="AA21" i="2"/>
  <c r="Z21" i="2"/>
  <c r="Y21" i="2"/>
  <c r="V21" i="2"/>
  <c r="U21" i="2"/>
  <c r="S21" i="2"/>
  <c r="R21" i="2"/>
  <c r="Q21" i="2"/>
  <c r="N21" i="2"/>
  <c r="M21" i="2"/>
  <c r="L21" i="2"/>
  <c r="K21" i="2"/>
  <c r="K86" i="2" s="1"/>
  <c r="J21" i="2"/>
  <c r="J86" i="2" s="1"/>
  <c r="H21" i="2"/>
  <c r="I86" i="2" s="1"/>
  <c r="G21" i="2"/>
  <c r="G86" i="2" s="1"/>
  <c r="F21" i="2"/>
  <c r="F86" i="2" s="1"/>
  <c r="E21" i="2"/>
  <c r="E86" i="2" s="1"/>
  <c r="D21" i="2"/>
  <c r="D86" i="2" s="1"/>
  <c r="C21" i="2"/>
  <c r="C86" i="2" s="1"/>
  <c r="B21" i="2"/>
  <c r="B86" i="2" s="1"/>
  <c r="AJ20" i="2"/>
  <c r="AC20" i="2"/>
  <c r="AB20" i="2"/>
  <c r="U20" i="2"/>
  <c r="M20" i="2"/>
  <c r="L20" i="2"/>
  <c r="K20" i="2"/>
  <c r="K85" i="2" s="1"/>
  <c r="J20" i="2"/>
  <c r="J85" i="2" s="1"/>
  <c r="H20" i="2"/>
  <c r="I85" i="2" s="1"/>
  <c r="G20" i="2"/>
  <c r="G85" i="2" s="1"/>
  <c r="P85" i="2" s="1"/>
  <c r="F20" i="2"/>
  <c r="F85" i="2" s="1"/>
  <c r="E20" i="2"/>
  <c r="E85" i="2" s="1"/>
  <c r="D20" i="2"/>
  <c r="D85" i="2" s="1"/>
  <c r="C20" i="2"/>
  <c r="C85" i="2" s="1"/>
  <c r="B20" i="2"/>
  <c r="B85" i="2" s="1"/>
  <c r="AJ19" i="2"/>
  <c r="K19" i="2"/>
  <c r="K84" i="2" s="1"/>
  <c r="J19" i="2"/>
  <c r="J84" i="2" s="1"/>
  <c r="H19" i="2"/>
  <c r="I84" i="2" s="1"/>
  <c r="G19" i="2"/>
  <c r="G84" i="2" s="1"/>
  <c r="F19" i="2"/>
  <c r="F84" i="2" s="1"/>
  <c r="D19" i="2"/>
  <c r="D84" i="2" s="1"/>
  <c r="C19" i="2"/>
  <c r="C84" i="2" s="1"/>
  <c r="B19" i="2"/>
  <c r="B84" i="2" s="1"/>
  <c r="AJ18" i="2"/>
  <c r="AD18" i="2"/>
  <c r="AC18" i="2"/>
  <c r="AB18" i="2"/>
  <c r="AA18" i="2"/>
  <c r="Z18" i="2"/>
  <c r="V18" i="2"/>
  <c r="U18" i="2"/>
  <c r="S18" i="2"/>
  <c r="R18" i="2"/>
  <c r="N18" i="2"/>
  <c r="M18" i="2"/>
  <c r="L18" i="2"/>
  <c r="K18" i="2"/>
  <c r="K83" i="2" s="1"/>
  <c r="J18" i="2"/>
  <c r="J83" i="2" s="1"/>
  <c r="H18" i="2"/>
  <c r="I83" i="2" s="1"/>
  <c r="G18" i="2"/>
  <c r="G83" i="2" s="1"/>
  <c r="F18" i="2"/>
  <c r="F83" i="2" s="1"/>
  <c r="D18" i="2"/>
  <c r="D83" i="2" s="1"/>
  <c r="C18" i="2"/>
  <c r="C83" i="2" s="1"/>
  <c r="B18" i="2"/>
  <c r="B83" i="2" s="1"/>
  <c r="AJ17" i="2"/>
  <c r="AD17" i="2"/>
  <c r="AC17" i="2"/>
  <c r="Y17" i="2"/>
  <c r="V17" i="2"/>
  <c r="U17" i="2"/>
  <c r="Q17" i="2"/>
  <c r="N17" i="2"/>
  <c r="M17" i="2"/>
  <c r="K17" i="2"/>
  <c r="K82" i="2" s="1"/>
  <c r="J17" i="2"/>
  <c r="J82" i="2" s="1"/>
  <c r="H17" i="2"/>
  <c r="I82" i="2" s="1"/>
  <c r="G17" i="2"/>
  <c r="G82" i="2" s="1"/>
  <c r="F17" i="2"/>
  <c r="F82" i="2" s="1"/>
  <c r="E17" i="2"/>
  <c r="E82" i="2" s="1"/>
  <c r="D17" i="2"/>
  <c r="D82" i="2" s="1"/>
  <c r="C17" i="2"/>
  <c r="C82" i="2" s="1"/>
  <c r="B17" i="2"/>
  <c r="B82" i="2" s="1"/>
  <c r="AJ16" i="2"/>
  <c r="Y16" i="2"/>
  <c r="Q16" i="2"/>
  <c r="K16" i="2"/>
  <c r="K81" i="2" s="1"/>
  <c r="J16" i="2"/>
  <c r="J81" i="2" s="1"/>
  <c r="H16" i="2"/>
  <c r="I81" i="2" s="1"/>
  <c r="G16" i="2"/>
  <c r="G81" i="2" s="1"/>
  <c r="F16" i="2"/>
  <c r="F81" i="2" s="1"/>
  <c r="D16" i="2"/>
  <c r="D81" i="2" s="1"/>
  <c r="C16" i="2"/>
  <c r="C81" i="2" s="1"/>
  <c r="B16" i="2"/>
  <c r="B81" i="2" s="1"/>
  <c r="AJ15" i="2"/>
  <c r="AE15" i="2"/>
  <c r="AB15" i="2"/>
  <c r="AA15" i="2"/>
  <c r="S15" i="2"/>
  <c r="L15" i="2"/>
  <c r="K15" i="2"/>
  <c r="K80" i="2" s="1"/>
  <c r="J15" i="2"/>
  <c r="J80" i="2" s="1"/>
  <c r="H15" i="2"/>
  <c r="I80" i="2" s="1"/>
  <c r="G15" i="2"/>
  <c r="G80" i="2" s="1"/>
  <c r="F15" i="2"/>
  <c r="F80" i="2" s="1"/>
  <c r="D15" i="2"/>
  <c r="D80" i="2" s="1"/>
  <c r="C15" i="2"/>
  <c r="C80" i="2" s="1"/>
  <c r="B15" i="2"/>
  <c r="B80" i="2" s="1"/>
  <c r="AJ14" i="2"/>
  <c r="K14" i="2"/>
  <c r="K79" i="2" s="1"/>
  <c r="J14" i="2"/>
  <c r="J79" i="2" s="1"/>
  <c r="H14" i="2"/>
  <c r="I79" i="2" s="1"/>
  <c r="G14" i="2"/>
  <c r="G79" i="2" s="1"/>
  <c r="F14" i="2"/>
  <c r="F79" i="2" s="1"/>
  <c r="D14" i="2"/>
  <c r="D79" i="2" s="1"/>
  <c r="C14" i="2"/>
  <c r="C79" i="2" s="1"/>
  <c r="B14" i="2"/>
  <c r="B79" i="2" s="1"/>
  <c r="AJ13" i="2"/>
  <c r="AD13" i="2"/>
  <c r="AC13" i="2"/>
  <c r="AB13" i="2"/>
  <c r="AA13" i="2"/>
  <c r="Z13" i="2"/>
  <c r="Y13" i="2"/>
  <c r="V13" i="2"/>
  <c r="U13" i="2"/>
  <c r="S13" i="2"/>
  <c r="R13" i="2"/>
  <c r="Q13" i="2"/>
  <c r="N13" i="2"/>
  <c r="M13" i="2"/>
  <c r="L13" i="2"/>
  <c r="K13" i="2"/>
  <c r="K78" i="2" s="1"/>
  <c r="J13" i="2"/>
  <c r="J78" i="2" s="1"/>
  <c r="H13" i="2"/>
  <c r="I78" i="2" s="1"/>
  <c r="G13" i="2"/>
  <c r="G78" i="2" s="1"/>
  <c r="F13" i="2"/>
  <c r="F78" i="2" s="1"/>
  <c r="E13" i="2"/>
  <c r="E78" i="2" s="1"/>
  <c r="D13" i="2"/>
  <c r="D78" i="2" s="1"/>
  <c r="C13" i="2"/>
  <c r="C78" i="2" s="1"/>
  <c r="B13" i="2"/>
  <c r="B78" i="2" s="1"/>
  <c r="AJ12" i="2"/>
  <c r="AC12" i="2"/>
  <c r="AB12" i="2"/>
  <c r="U12" i="2"/>
  <c r="M12" i="2"/>
  <c r="L12" i="2"/>
  <c r="K12" i="2"/>
  <c r="K77" i="2" s="1"/>
  <c r="J12" i="2"/>
  <c r="J77" i="2" s="1"/>
  <c r="H12" i="2"/>
  <c r="I77" i="2" s="1"/>
  <c r="G12" i="2"/>
  <c r="G77" i="2" s="1"/>
  <c r="F12" i="2"/>
  <c r="F77" i="2" s="1"/>
  <c r="E12" i="2"/>
  <c r="E77" i="2" s="1"/>
  <c r="D12" i="2"/>
  <c r="D77" i="2" s="1"/>
  <c r="C12" i="2"/>
  <c r="C77" i="2" s="1"/>
  <c r="B12" i="2"/>
  <c r="B77" i="2" s="1"/>
  <c r="AJ11" i="2"/>
  <c r="P11" i="2"/>
  <c r="K11" i="2"/>
  <c r="K76" i="2" s="1"/>
  <c r="J11" i="2"/>
  <c r="J76" i="2" s="1"/>
  <c r="H11" i="2"/>
  <c r="I76" i="2" s="1"/>
  <c r="G11" i="2"/>
  <c r="G76" i="2" s="1"/>
  <c r="F11" i="2"/>
  <c r="F76" i="2" s="1"/>
  <c r="D11" i="2"/>
  <c r="D76" i="2" s="1"/>
  <c r="C11" i="2"/>
  <c r="C76" i="2" s="1"/>
  <c r="B11" i="2"/>
  <c r="B76" i="2" s="1"/>
  <c r="AJ10" i="2"/>
  <c r="AD10" i="2"/>
  <c r="AC10" i="2"/>
  <c r="AB10" i="2"/>
  <c r="AA10" i="2"/>
  <c r="Z10" i="2"/>
  <c r="V10" i="2"/>
  <c r="U10" i="2"/>
  <c r="S10" i="2"/>
  <c r="R10" i="2"/>
  <c r="N10" i="2"/>
  <c r="M10" i="2"/>
  <c r="L10" i="2"/>
  <c r="K10" i="2"/>
  <c r="K75" i="2" s="1"/>
  <c r="J10" i="2"/>
  <c r="J75" i="2" s="1"/>
  <c r="H10" i="2"/>
  <c r="I75" i="2" s="1"/>
  <c r="G10" i="2"/>
  <c r="G75" i="2" s="1"/>
  <c r="Y75" i="2" s="1"/>
  <c r="F10" i="2"/>
  <c r="F75" i="2" s="1"/>
  <c r="D10" i="2"/>
  <c r="D75" i="2" s="1"/>
  <c r="C10" i="2"/>
  <c r="C75" i="2" s="1"/>
  <c r="B10" i="2"/>
  <c r="B75" i="2" s="1"/>
  <c r="AJ9" i="2"/>
  <c r="AD9" i="2"/>
  <c r="AC9" i="2"/>
  <c r="Y9" i="2"/>
  <c r="V9" i="2"/>
  <c r="U9" i="2"/>
  <c r="Q9" i="2"/>
  <c r="N9" i="2"/>
  <c r="M9" i="2"/>
  <c r="K9" i="2"/>
  <c r="K74" i="2" s="1"/>
  <c r="J9" i="2"/>
  <c r="J74" i="2" s="1"/>
  <c r="H9" i="2"/>
  <c r="I74" i="2" s="1"/>
  <c r="G9" i="2"/>
  <c r="G74" i="2" s="1"/>
  <c r="F9" i="2"/>
  <c r="F74" i="2" s="1"/>
  <c r="E9" i="2"/>
  <c r="E74" i="2" s="1"/>
  <c r="D9" i="2"/>
  <c r="D74" i="2" s="1"/>
  <c r="C9" i="2"/>
  <c r="C74" i="2" s="1"/>
  <c r="B9" i="2"/>
  <c r="B74" i="2" s="1"/>
  <c r="AJ8" i="2"/>
  <c r="Y8" i="2"/>
  <c r="Q8" i="2"/>
  <c r="K8" i="2"/>
  <c r="K73" i="2" s="1"/>
  <c r="J8" i="2"/>
  <c r="J73" i="2" s="1"/>
  <c r="H8" i="2"/>
  <c r="I73" i="2" s="1"/>
  <c r="G8" i="2"/>
  <c r="G73" i="2" s="1"/>
  <c r="F8" i="2"/>
  <c r="F73" i="2" s="1"/>
  <c r="D8" i="2"/>
  <c r="D73" i="2" s="1"/>
  <c r="C8" i="2"/>
  <c r="C73" i="2" s="1"/>
  <c r="B8" i="2"/>
  <c r="B73" i="2" s="1"/>
  <c r="AJ7" i="2"/>
  <c r="AB7" i="2"/>
  <c r="AA7" i="2"/>
  <c r="S7" i="2"/>
  <c r="L7" i="2"/>
  <c r="K7" i="2"/>
  <c r="K72" i="2" s="1"/>
  <c r="J7" i="2"/>
  <c r="J72" i="2" s="1"/>
  <c r="H7" i="2"/>
  <c r="I72" i="2" s="1"/>
  <c r="G7" i="2"/>
  <c r="G72" i="2" s="1"/>
  <c r="F7" i="2"/>
  <c r="F72" i="2" s="1"/>
  <c r="D7" i="2"/>
  <c r="D72" i="2" s="1"/>
  <c r="C7" i="2"/>
  <c r="C72" i="2" s="1"/>
  <c r="B7" i="2"/>
  <c r="B72" i="2" s="1"/>
  <c r="AJ6" i="2"/>
  <c r="K6" i="2"/>
  <c r="J6" i="2"/>
  <c r="H6" i="2"/>
  <c r="G6" i="2"/>
  <c r="G71" i="2" s="1"/>
  <c r="F6" i="2"/>
  <c r="D6" i="2"/>
  <c r="C6" i="2"/>
  <c r="C71" i="2" s="1"/>
  <c r="B6" i="2"/>
  <c r="B71" i="2" s="1"/>
  <c r="A63" i="1"/>
  <c r="B50" i="1"/>
  <c r="B49" i="1"/>
  <c r="B48" i="1"/>
  <c r="B47" i="1"/>
  <c r="B46" i="1"/>
  <c r="B44" i="1"/>
  <c r="B42" i="1"/>
  <c r="B41" i="1"/>
  <c r="A3" i="1"/>
  <c r="E24" i="1" l="1"/>
  <c r="AA182" i="2"/>
  <c r="S182" i="2"/>
  <c r="Z181" i="2"/>
  <c r="Z169" i="2" s="1"/>
  <c r="R181" i="2"/>
  <c r="Z182" i="2"/>
  <c r="R182" i="2"/>
  <c r="Y181" i="2"/>
  <c r="Q181" i="2"/>
  <c r="AF180" i="2"/>
  <c r="X180" i="2"/>
  <c r="P180" i="2"/>
  <c r="AE179" i="2"/>
  <c r="W179" i="2"/>
  <c r="O179" i="2"/>
  <c r="AD178" i="2"/>
  <c r="V178" i="2"/>
  <c r="N178" i="2"/>
  <c r="AB176" i="2"/>
  <c r="L176" i="2"/>
  <c r="AA175" i="2"/>
  <c r="S175" i="2"/>
  <c r="Z174" i="2"/>
  <c r="R174" i="2"/>
  <c r="Y173" i="2"/>
  <c r="Y183" i="2" s="1"/>
  <c r="Q173" i="2"/>
  <c r="Y182" i="2"/>
  <c r="Q182" i="2"/>
  <c r="Q170" i="2" s="1"/>
  <c r="AF181" i="2"/>
  <c r="AF169" i="2" s="1"/>
  <c r="X181" i="2"/>
  <c r="X169" i="2" s="1"/>
  <c r="P181" i="2"/>
  <c r="AE180" i="2"/>
  <c r="W180" i="2"/>
  <c r="O180" i="2"/>
  <c r="O168" i="2" s="1"/>
  <c r="AD179" i="2"/>
  <c r="AD167" i="2" s="1"/>
  <c r="V179" i="2"/>
  <c r="V167" i="2" s="1"/>
  <c r="N179" i="2"/>
  <c r="AC178" i="2"/>
  <c r="U178" i="2"/>
  <c r="M178" i="2"/>
  <c r="M166" i="2" s="1"/>
  <c r="AA176" i="2"/>
  <c r="S176" i="2"/>
  <c r="Z175" i="2"/>
  <c r="R175" i="2"/>
  <c r="Y174" i="2"/>
  <c r="Q174" i="2"/>
  <c r="Q162" i="2" s="1"/>
  <c r="AF173" i="2"/>
  <c r="X173" i="2"/>
  <c r="P173" i="2"/>
  <c r="AF182" i="2"/>
  <c r="X182" i="2"/>
  <c r="P182" i="2"/>
  <c r="AE181" i="2"/>
  <c r="W181" i="2"/>
  <c r="O181" i="2"/>
  <c r="AD180" i="2"/>
  <c r="V180" i="2"/>
  <c r="N180" i="2"/>
  <c r="AC179" i="2"/>
  <c r="U179" i="2"/>
  <c r="M179" i="2"/>
  <c r="AB178" i="2"/>
  <c r="L178" i="2"/>
  <c r="Z176" i="2"/>
  <c r="R176" i="2"/>
  <c r="Y175" i="2"/>
  <c r="Y177" i="2" s="1"/>
  <c r="Q175" i="2"/>
  <c r="AF174" i="2"/>
  <c r="X174" i="2"/>
  <c r="P174" i="2"/>
  <c r="AE173" i="2"/>
  <c r="W173" i="2"/>
  <c r="V182" i="2"/>
  <c r="U182" i="2"/>
  <c r="Z179" i="2"/>
  <c r="Z167" i="2" s="1"/>
  <c r="L179" i="2"/>
  <c r="AF178" i="2"/>
  <c r="R178" i="2"/>
  <c r="AD176" i="2"/>
  <c r="P176" i="2"/>
  <c r="V175" i="2"/>
  <c r="AB174" i="2"/>
  <c r="N174" i="2"/>
  <c r="AE182" i="2"/>
  <c r="O182" i="2"/>
  <c r="AD181" i="2"/>
  <c r="N181" i="2"/>
  <c r="AC180" i="2"/>
  <c r="R180" i="2"/>
  <c r="X179" i="2"/>
  <c r="X167" i="2" s="1"/>
  <c r="AA178" i="2"/>
  <c r="P178" i="2"/>
  <c r="Y176" i="2"/>
  <c r="N176" i="2"/>
  <c r="AE175" i="2"/>
  <c r="W174" i="2"/>
  <c r="L174" i="2"/>
  <c r="AC173" i="2"/>
  <c r="R173" i="2"/>
  <c r="AD182" i="2"/>
  <c r="N182" i="2"/>
  <c r="AC181" i="2"/>
  <c r="M181" i="2"/>
  <c r="AB180" i="2"/>
  <c r="Q180" i="2"/>
  <c r="Q168" i="2" s="1"/>
  <c r="Z178" i="2"/>
  <c r="O178" i="2"/>
  <c r="O166" i="2" s="1"/>
  <c r="X176" i="2"/>
  <c r="M176" i="2"/>
  <c r="M164" i="2" s="1"/>
  <c r="AD175" i="2"/>
  <c r="P175" i="2"/>
  <c r="P177" i="2" s="1"/>
  <c r="V174" i="2"/>
  <c r="AB173" i="2"/>
  <c r="O173" i="2"/>
  <c r="AC182" i="2"/>
  <c r="M182" i="2"/>
  <c r="M170" i="2" s="1"/>
  <c r="AB181" i="2"/>
  <c r="AB169" i="2" s="1"/>
  <c r="L181" i="2"/>
  <c r="AA180" i="2"/>
  <c r="M180" i="2"/>
  <c r="S179" i="2"/>
  <c r="C47" i="1" s="1"/>
  <c r="E47" i="1" s="1"/>
  <c r="Y178" i="2"/>
  <c r="W176" i="2"/>
  <c r="AC175" i="2"/>
  <c r="O175" i="2"/>
  <c r="U174" i="2"/>
  <c r="AA173" i="2"/>
  <c r="N173" i="2"/>
  <c r="W182" i="2"/>
  <c r="V181" i="2"/>
  <c r="Y180" i="2"/>
  <c r="Y168" i="2" s="1"/>
  <c r="AB179" i="2"/>
  <c r="Q179" i="2"/>
  <c r="W178" i="2"/>
  <c r="AF176" i="2"/>
  <c r="U176" i="2"/>
  <c r="X175" i="2"/>
  <c r="X177" i="2" s="1"/>
  <c r="M175" i="2"/>
  <c r="M177" i="2" s="1"/>
  <c r="AD174" i="2"/>
  <c r="S174" i="2"/>
  <c r="V173" i="2"/>
  <c r="L173" i="2"/>
  <c r="AA181" i="2"/>
  <c r="S180" i="2"/>
  <c r="P179" i="2"/>
  <c r="AE174" i="2"/>
  <c r="AD173" i="2"/>
  <c r="AD183" i="2" s="1"/>
  <c r="U181" i="2"/>
  <c r="AG181" i="2" s="1"/>
  <c r="L180" i="2"/>
  <c r="AF175" i="2"/>
  <c r="AF177" i="2" s="1"/>
  <c r="AC174" i="2"/>
  <c r="AC162" i="2" s="1"/>
  <c r="Z173" i="2"/>
  <c r="S181" i="2"/>
  <c r="C49" i="1" s="1"/>
  <c r="E49" i="1" s="1"/>
  <c r="AE176" i="2"/>
  <c r="AB175" i="2"/>
  <c r="AA174" i="2"/>
  <c r="U173" i="2"/>
  <c r="AB182" i="2"/>
  <c r="AC176" i="2"/>
  <c r="W175" i="2"/>
  <c r="W177" i="2" s="1"/>
  <c r="S173" i="2"/>
  <c r="AF179" i="2"/>
  <c r="AF167" i="2" s="1"/>
  <c r="AE178" i="2"/>
  <c r="V176" i="2"/>
  <c r="U175" i="2"/>
  <c r="O174" i="2"/>
  <c r="M173" i="2"/>
  <c r="L182" i="2"/>
  <c r="AA179" i="2"/>
  <c r="X178" i="2"/>
  <c r="Q176" i="2"/>
  <c r="N175" i="2"/>
  <c r="N177" i="2" s="1"/>
  <c r="M174" i="2"/>
  <c r="M162" i="2" s="1"/>
  <c r="U180" i="2"/>
  <c r="R179" i="2"/>
  <c r="Q178" i="2"/>
  <c r="Q166" i="2" s="1"/>
  <c r="S178" i="2"/>
  <c r="C46" i="1" s="1"/>
  <c r="E46" i="1" s="1"/>
  <c r="O176" i="2"/>
  <c r="O164" i="2" s="1"/>
  <c r="Z180" i="2"/>
  <c r="L175" i="2"/>
  <c r="Y179" i="2"/>
  <c r="F71" i="2"/>
  <c r="N6" i="2"/>
  <c r="V6" i="2"/>
  <c r="AD6" i="2"/>
  <c r="P8" i="2"/>
  <c r="X8" i="2"/>
  <c r="AF8" i="2"/>
  <c r="AE76" i="2"/>
  <c r="W76" i="2"/>
  <c r="O76" i="2"/>
  <c r="AD76" i="2"/>
  <c r="V76" i="2"/>
  <c r="N76" i="2"/>
  <c r="AC76" i="2"/>
  <c r="U76" i="2"/>
  <c r="M76" i="2"/>
  <c r="AB76" i="2"/>
  <c r="AA76" i="2"/>
  <c r="S76" i="2"/>
  <c r="Z76" i="2"/>
  <c r="R76" i="2"/>
  <c r="AF76" i="2"/>
  <c r="Y76" i="2"/>
  <c r="X76" i="2"/>
  <c r="Q76" i="2"/>
  <c r="P76" i="2"/>
  <c r="O11" i="2"/>
  <c r="W11" i="2"/>
  <c r="AE11" i="2"/>
  <c r="N14" i="2"/>
  <c r="V14" i="2"/>
  <c r="AD14" i="2"/>
  <c r="P16" i="2"/>
  <c r="X16" i="2"/>
  <c r="AF16" i="2"/>
  <c r="AF154" i="2" s="1"/>
  <c r="AE84" i="2"/>
  <c r="W84" i="2"/>
  <c r="O84" i="2"/>
  <c r="AD84" i="2"/>
  <c r="V84" i="2"/>
  <c r="N84" i="2"/>
  <c r="AC84" i="2"/>
  <c r="U84" i="2"/>
  <c r="M84" i="2"/>
  <c r="AB84" i="2"/>
  <c r="L84" i="2"/>
  <c r="AA84" i="2"/>
  <c r="S84" i="2"/>
  <c r="Z84" i="2"/>
  <c r="R84" i="2"/>
  <c r="AF84" i="2"/>
  <c r="X84" i="2"/>
  <c r="P84" i="2"/>
  <c r="Y84" i="2"/>
  <c r="Q84" i="2"/>
  <c r="O19" i="2"/>
  <c r="W19" i="2"/>
  <c r="AE19" i="2"/>
  <c r="N22" i="2"/>
  <c r="V22" i="2"/>
  <c r="AE22" i="2"/>
  <c r="E88" i="2"/>
  <c r="S27" i="2"/>
  <c r="AF27" i="2"/>
  <c r="I100" i="2"/>
  <c r="AA35" i="2"/>
  <c r="S35" i="2"/>
  <c r="R35" i="2"/>
  <c r="AC35" i="2"/>
  <c r="U35" i="2"/>
  <c r="M35" i="2"/>
  <c r="X35" i="2"/>
  <c r="V41" i="2"/>
  <c r="AB79" i="2"/>
  <c r="L79" i="2"/>
  <c r="AA79" i="2"/>
  <c r="S79" i="2"/>
  <c r="Z79" i="2"/>
  <c r="R79" i="2"/>
  <c r="Y79" i="2"/>
  <c r="Q79" i="2"/>
  <c r="AF79" i="2"/>
  <c r="X79" i="2"/>
  <c r="P79" i="2"/>
  <c r="AE79" i="2"/>
  <c r="W79" i="2"/>
  <c r="O79" i="2"/>
  <c r="AC79" i="2"/>
  <c r="U79" i="2"/>
  <c r="M79" i="2"/>
  <c r="N79" i="2"/>
  <c r="AD79" i="2"/>
  <c r="AE14" i="2"/>
  <c r="AF19" i="2"/>
  <c r="W22" i="2"/>
  <c r="G94" i="2"/>
  <c r="AC29" i="2"/>
  <c r="U29" i="2"/>
  <c r="M29" i="2"/>
  <c r="AB29" i="2"/>
  <c r="L29" i="2"/>
  <c r="Y29" i="2"/>
  <c r="Q29" i="2"/>
  <c r="AF29" i="2"/>
  <c r="X29" i="2"/>
  <c r="P29" i="2"/>
  <c r="E101" i="2"/>
  <c r="C23" i="1"/>
  <c r="I71" i="2"/>
  <c r="AF71" i="2" s="1"/>
  <c r="H66" i="2"/>
  <c r="P6" i="2"/>
  <c r="X6" i="2"/>
  <c r="AF6" i="2"/>
  <c r="E7" i="2"/>
  <c r="M7" i="2"/>
  <c r="T7" i="2" s="1"/>
  <c r="U7" i="2"/>
  <c r="AG7" i="2" s="1"/>
  <c r="AC7" i="2"/>
  <c r="R8" i="2"/>
  <c r="Z8" i="2"/>
  <c r="Y74" i="2"/>
  <c r="Q74" i="2"/>
  <c r="AF74" i="2"/>
  <c r="X74" i="2"/>
  <c r="P74" i="2"/>
  <c r="AE74" i="2"/>
  <c r="W74" i="2"/>
  <c r="O74" i="2"/>
  <c r="AC74" i="2"/>
  <c r="U74" i="2"/>
  <c r="M74" i="2"/>
  <c r="V74" i="2"/>
  <c r="S74" i="2"/>
  <c r="R74" i="2"/>
  <c r="AD74" i="2"/>
  <c r="N74" i="2"/>
  <c r="AB74" i="2"/>
  <c r="L74" i="2"/>
  <c r="AA74" i="2"/>
  <c r="O9" i="2"/>
  <c r="W9" i="2"/>
  <c r="AG9" i="2" s="1"/>
  <c r="AE9" i="2"/>
  <c r="Q11" i="2"/>
  <c r="Y11" i="2"/>
  <c r="N12" i="2"/>
  <c r="V12" i="2"/>
  <c r="AG12" i="2" s="1"/>
  <c r="AD12" i="2"/>
  <c r="P14" i="2"/>
  <c r="X14" i="2"/>
  <c r="AF14" i="2"/>
  <c r="E15" i="2"/>
  <c r="M15" i="2"/>
  <c r="T15" i="2" s="1"/>
  <c r="U15" i="2"/>
  <c r="AC15" i="2"/>
  <c r="R16" i="2"/>
  <c r="Z16" i="2"/>
  <c r="AA189" i="2" s="1"/>
  <c r="Y82" i="2"/>
  <c r="Q82" i="2"/>
  <c r="AF82" i="2"/>
  <c r="X82" i="2"/>
  <c r="P82" i="2"/>
  <c r="AE82" i="2"/>
  <c r="W82" i="2"/>
  <c r="O82" i="2"/>
  <c r="AD82" i="2"/>
  <c r="V82" i="2"/>
  <c r="N82" i="2"/>
  <c r="AC82" i="2"/>
  <c r="U82" i="2"/>
  <c r="M82" i="2"/>
  <c r="AB82" i="2"/>
  <c r="L82" i="2"/>
  <c r="T82" i="2" s="1"/>
  <c r="Z82" i="2"/>
  <c r="R82" i="2"/>
  <c r="AA82" i="2"/>
  <c r="S82" i="2"/>
  <c r="O17" i="2"/>
  <c r="W17" i="2"/>
  <c r="AG17" i="2" s="1"/>
  <c r="AE17" i="2"/>
  <c r="Q19" i="2"/>
  <c r="Y19" i="2"/>
  <c r="N20" i="2"/>
  <c r="T20" i="2" s="1"/>
  <c r="V20" i="2"/>
  <c r="AD20" i="2"/>
  <c r="P22" i="2"/>
  <c r="X22" i="2"/>
  <c r="G88" i="2"/>
  <c r="AD23" i="2"/>
  <c r="V23" i="2"/>
  <c r="N23" i="2"/>
  <c r="AA23" i="2"/>
  <c r="S23" i="2"/>
  <c r="Z23" i="2"/>
  <c r="R23" i="2"/>
  <c r="P23" i="2"/>
  <c r="AC23" i="2"/>
  <c r="E24" i="2"/>
  <c r="U27" i="2"/>
  <c r="I93" i="2"/>
  <c r="AF28" i="2"/>
  <c r="X28" i="2"/>
  <c r="R28" i="2"/>
  <c r="W29" i="2"/>
  <c r="E31" i="2"/>
  <c r="AB35" i="2"/>
  <c r="W38" i="2"/>
  <c r="Z41" i="2"/>
  <c r="M71" i="2"/>
  <c r="X19" i="2"/>
  <c r="D107" i="2"/>
  <c r="P141" i="2" s="1"/>
  <c r="E42" i="2"/>
  <c r="C19" i="1"/>
  <c r="C21" i="1"/>
  <c r="Q6" i="2"/>
  <c r="Y6" i="2"/>
  <c r="N7" i="2"/>
  <c r="V7" i="2"/>
  <c r="AD7" i="2"/>
  <c r="S8" i="2"/>
  <c r="AA8" i="2"/>
  <c r="P9" i="2"/>
  <c r="X9" i="2"/>
  <c r="AF9" i="2"/>
  <c r="E10" i="2"/>
  <c r="R11" i="2"/>
  <c r="Z11" i="2"/>
  <c r="AD77" i="2"/>
  <c r="V77" i="2"/>
  <c r="N77" i="2"/>
  <c r="AC77" i="2"/>
  <c r="U77" i="2"/>
  <c r="M77" i="2"/>
  <c r="AB77" i="2"/>
  <c r="L77" i="2"/>
  <c r="T77" i="2" s="1"/>
  <c r="AA77" i="2"/>
  <c r="S77" i="2"/>
  <c r="Z77" i="2"/>
  <c r="R77" i="2"/>
  <c r="Y77" i="2"/>
  <c r="Q77" i="2"/>
  <c r="AF77" i="2"/>
  <c r="AE77" i="2"/>
  <c r="X77" i="2"/>
  <c r="W77" i="2"/>
  <c r="P77" i="2"/>
  <c r="O77" i="2"/>
  <c r="O12" i="2"/>
  <c r="W12" i="2"/>
  <c r="AE12" i="2"/>
  <c r="Q14" i="2"/>
  <c r="Y14" i="2"/>
  <c r="N15" i="2"/>
  <c r="V15" i="2"/>
  <c r="AD15" i="2"/>
  <c r="S16" i="2"/>
  <c r="AA16" i="2"/>
  <c r="P17" i="2"/>
  <c r="X17" i="2"/>
  <c r="AF17" i="2"/>
  <c r="E18" i="2"/>
  <c r="R19" i="2"/>
  <c r="Z19" i="2"/>
  <c r="AD85" i="2"/>
  <c r="V85" i="2"/>
  <c r="N85" i="2"/>
  <c r="AC85" i="2"/>
  <c r="U85" i="2"/>
  <c r="M85" i="2"/>
  <c r="AB85" i="2"/>
  <c r="L85" i="2"/>
  <c r="AA85" i="2"/>
  <c r="S85" i="2"/>
  <c r="Z85" i="2"/>
  <c r="R85" i="2"/>
  <c r="Y85" i="2"/>
  <c r="Q85" i="2"/>
  <c r="AE85" i="2"/>
  <c r="W85" i="2"/>
  <c r="O85" i="2"/>
  <c r="AF85" i="2"/>
  <c r="X85" i="2"/>
  <c r="O20" i="2"/>
  <c r="W20" i="2"/>
  <c r="AE20" i="2"/>
  <c r="Q22" i="2"/>
  <c r="Y22" i="2"/>
  <c r="Q23" i="2"/>
  <c r="AE23" i="2"/>
  <c r="X27" i="2"/>
  <c r="U28" i="2"/>
  <c r="Z29" i="2"/>
  <c r="G98" i="2"/>
  <c r="Y33" i="2"/>
  <c r="Q33" i="2"/>
  <c r="AF33" i="2"/>
  <c r="X33" i="2"/>
  <c r="P33" i="2"/>
  <c r="AC33" i="2"/>
  <c r="U33" i="2"/>
  <c r="M33" i="2"/>
  <c r="AB33" i="2"/>
  <c r="L33" i="2"/>
  <c r="AA33" i="2"/>
  <c r="S33" i="2"/>
  <c r="W33" i="2"/>
  <c r="D99" i="2"/>
  <c r="E34" i="2"/>
  <c r="AF35" i="2"/>
  <c r="G103" i="2"/>
  <c r="Z38" i="2"/>
  <c r="R38" i="2"/>
  <c r="Y38" i="2"/>
  <c r="Q38" i="2"/>
  <c r="AD38" i="2"/>
  <c r="V38" i="2"/>
  <c r="N38" i="2"/>
  <c r="AC38" i="2"/>
  <c r="U38" i="2"/>
  <c r="M38" i="2"/>
  <c r="AB38" i="2"/>
  <c r="L38" i="2"/>
  <c r="X38" i="2"/>
  <c r="AD41" i="2"/>
  <c r="G107" i="2"/>
  <c r="AD42" i="2"/>
  <c r="V42" i="2"/>
  <c r="N42" i="2"/>
  <c r="AC42" i="2"/>
  <c r="U42" i="2"/>
  <c r="M42" i="2"/>
  <c r="Z42" i="2"/>
  <c r="R42" i="2"/>
  <c r="Y42" i="2"/>
  <c r="Q42" i="2"/>
  <c r="AF42" i="2"/>
  <c r="X42" i="2"/>
  <c r="P42" i="2"/>
  <c r="W42" i="2"/>
  <c r="D108" i="2"/>
  <c r="E43" i="2"/>
  <c r="D116" i="2"/>
  <c r="E51" i="2"/>
  <c r="E121" i="2"/>
  <c r="AC71" i="2"/>
  <c r="O6" i="2"/>
  <c r="X11" i="2"/>
  <c r="W14" i="2"/>
  <c r="J71" i="2"/>
  <c r="J66" i="2"/>
  <c r="Z6" i="2"/>
  <c r="AA72" i="2"/>
  <c r="S72" i="2"/>
  <c r="Z72" i="2"/>
  <c r="R72" i="2"/>
  <c r="Y72" i="2"/>
  <c r="Q72" i="2"/>
  <c r="AE72" i="2"/>
  <c r="W72" i="2"/>
  <c r="O72" i="2"/>
  <c r="X72" i="2"/>
  <c r="V72" i="2"/>
  <c r="U72" i="2"/>
  <c r="AF72" i="2"/>
  <c r="P72" i="2"/>
  <c r="AD72" i="2"/>
  <c r="N72" i="2"/>
  <c r="AC72" i="2"/>
  <c r="M72" i="2"/>
  <c r="O7" i="2"/>
  <c r="W7" i="2"/>
  <c r="AE7" i="2"/>
  <c r="L8" i="2"/>
  <c r="S11" i="2"/>
  <c r="AA11" i="2"/>
  <c r="P12" i="2"/>
  <c r="AF12" i="2"/>
  <c r="R14" i="2"/>
  <c r="Z14" i="2"/>
  <c r="AA80" i="2"/>
  <c r="S80" i="2"/>
  <c r="Z80" i="2"/>
  <c r="R80" i="2"/>
  <c r="Y80" i="2"/>
  <c r="Q80" i="2"/>
  <c r="AF80" i="2"/>
  <c r="X80" i="2"/>
  <c r="P80" i="2"/>
  <c r="AE80" i="2"/>
  <c r="W80" i="2"/>
  <c r="O80" i="2"/>
  <c r="AD80" i="2"/>
  <c r="V80" i="2"/>
  <c r="N80" i="2"/>
  <c r="AB80" i="2"/>
  <c r="L80" i="2"/>
  <c r="AC80" i="2"/>
  <c r="U80" i="2"/>
  <c r="AG80" i="2" s="1"/>
  <c r="M80" i="2"/>
  <c r="O15" i="2"/>
  <c r="W15" i="2"/>
  <c r="L16" i="2"/>
  <c r="AB16" i="2"/>
  <c r="S19" i="2"/>
  <c r="AA19" i="2"/>
  <c r="P20" i="2"/>
  <c r="X20" i="2"/>
  <c r="AF20" i="2"/>
  <c r="R22" i="2"/>
  <c r="Z22" i="2"/>
  <c r="D91" i="2"/>
  <c r="E26" i="2"/>
  <c r="L27" i="2"/>
  <c r="Y27" i="2"/>
  <c r="AA29" i="2"/>
  <c r="D95" i="2"/>
  <c r="E30" i="2"/>
  <c r="L35" i="2"/>
  <c r="AA38" i="2"/>
  <c r="E104" i="2"/>
  <c r="AE41" i="2"/>
  <c r="I112" i="2"/>
  <c r="AC47" i="2"/>
  <c r="U47" i="2"/>
  <c r="M47" i="2"/>
  <c r="AB47" i="2"/>
  <c r="L47" i="2"/>
  <c r="Y47" i="2"/>
  <c r="Q47" i="2"/>
  <c r="P55" i="2"/>
  <c r="G123" i="2"/>
  <c r="AD58" i="2"/>
  <c r="V58" i="2"/>
  <c r="N58" i="2"/>
  <c r="AC58" i="2"/>
  <c r="U58" i="2"/>
  <c r="M58" i="2"/>
  <c r="AB58" i="2"/>
  <c r="L58" i="2"/>
  <c r="AA58" i="2"/>
  <c r="S58" i="2"/>
  <c r="Z58" i="2"/>
  <c r="R58" i="2"/>
  <c r="Y58" i="2"/>
  <c r="Q58" i="2"/>
  <c r="AF58" i="2"/>
  <c r="X58" i="2"/>
  <c r="P58" i="2"/>
  <c r="L72" i="2"/>
  <c r="T72" i="2" s="1"/>
  <c r="L76" i="2"/>
  <c r="W6" i="2"/>
  <c r="W41" i="2"/>
  <c r="G115" i="2"/>
  <c r="AD50" i="2"/>
  <c r="V50" i="2"/>
  <c r="N50" i="2"/>
  <c r="AC50" i="2"/>
  <c r="U50" i="2"/>
  <c r="M50" i="2"/>
  <c r="AB50" i="2"/>
  <c r="L50" i="2"/>
  <c r="AA50" i="2"/>
  <c r="S50" i="2"/>
  <c r="Z50" i="2"/>
  <c r="R50" i="2"/>
  <c r="Y50" i="2"/>
  <c r="Q50" i="2"/>
  <c r="AF50" i="2"/>
  <c r="X50" i="2"/>
  <c r="P50" i="2"/>
  <c r="R6" i="2"/>
  <c r="R151" i="2" s="1"/>
  <c r="AB8" i="2"/>
  <c r="X12" i="2"/>
  <c r="K71" i="2"/>
  <c r="K66" i="2"/>
  <c r="K67" i="2"/>
  <c r="S6" i="2"/>
  <c r="AA6" i="2"/>
  <c r="P7" i="2"/>
  <c r="Q190" i="2" s="1"/>
  <c r="X7" i="2"/>
  <c r="AF7" i="2"/>
  <c r="E8" i="2"/>
  <c r="M8" i="2"/>
  <c r="U8" i="2"/>
  <c r="AC8" i="2"/>
  <c r="R9" i="2"/>
  <c r="Z9" i="2"/>
  <c r="AF75" i="2"/>
  <c r="X75" i="2"/>
  <c r="P75" i="2"/>
  <c r="AE75" i="2"/>
  <c r="W75" i="2"/>
  <c r="O75" i="2"/>
  <c r="AD75" i="2"/>
  <c r="V75" i="2"/>
  <c r="N75" i="2"/>
  <c r="AB75" i="2"/>
  <c r="L75" i="2"/>
  <c r="AA75" i="2"/>
  <c r="U75" i="2"/>
  <c r="S75" i="2"/>
  <c r="R75" i="2"/>
  <c r="Q75" i="2"/>
  <c r="M75" i="2"/>
  <c r="AC75" i="2"/>
  <c r="Z75" i="2"/>
  <c r="O10" i="2"/>
  <c r="W10" i="2"/>
  <c r="AG10" i="2" s="1"/>
  <c r="AE10" i="2"/>
  <c r="L11" i="2"/>
  <c r="AB11" i="2"/>
  <c r="Q12" i="2"/>
  <c r="Y12" i="2"/>
  <c r="S14" i="2"/>
  <c r="AA14" i="2"/>
  <c r="P15" i="2"/>
  <c r="X15" i="2"/>
  <c r="AF15" i="2"/>
  <c r="E16" i="2"/>
  <c r="M16" i="2"/>
  <c r="U16" i="2"/>
  <c r="AC16" i="2"/>
  <c r="R17" i="2"/>
  <c r="Z17" i="2"/>
  <c r="AF83" i="2"/>
  <c r="X83" i="2"/>
  <c r="P83" i="2"/>
  <c r="AE83" i="2"/>
  <c r="W83" i="2"/>
  <c r="O83" i="2"/>
  <c r="AD83" i="2"/>
  <c r="V83" i="2"/>
  <c r="N83" i="2"/>
  <c r="AC83" i="2"/>
  <c r="U83" i="2"/>
  <c r="AG83" i="2" s="1"/>
  <c r="M83" i="2"/>
  <c r="AB83" i="2"/>
  <c r="L83" i="2"/>
  <c r="AA83" i="2"/>
  <c r="S83" i="2"/>
  <c r="Y83" i="2"/>
  <c r="Q83" i="2"/>
  <c r="Z83" i="2"/>
  <c r="O18" i="2"/>
  <c r="T18" i="2" s="1"/>
  <c r="W18" i="2"/>
  <c r="AG18" i="2" s="1"/>
  <c r="AE18" i="2"/>
  <c r="L19" i="2"/>
  <c r="AB19" i="2"/>
  <c r="Q20" i="2"/>
  <c r="Y20" i="2"/>
  <c r="S22" i="2"/>
  <c r="U23" i="2"/>
  <c r="G90" i="2"/>
  <c r="AF25" i="2"/>
  <c r="X25" i="2"/>
  <c r="P25" i="2"/>
  <c r="AC25" i="2"/>
  <c r="U25" i="2"/>
  <c r="M25" i="2"/>
  <c r="AB25" i="2"/>
  <c r="L25" i="2"/>
  <c r="R25" i="2"/>
  <c r="AE25" i="2"/>
  <c r="E27" i="2"/>
  <c r="M27" i="2"/>
  <c r="AA27" i="2"/>
  <c r="Y28" i="2"/>
  <c r="N29" i="2"/>
  <c r="AD29" i="2"/>
  <c r="AD33" i="2"/>
  <c r="G99" i="2"/>
  <c r="AD34" i="2"/>
  <c r="V34" i="2"/>
  <c r="N34" i="2"/>
  <c r="AC34" i="2"/>
  <c r="U34" i="2"/>
  <c r="M34" i="2"/>
  <c r="T34" i="2" s="1"/>
  <c r="Z34" i="2"/>
  <c r="R34" i="2"/>
  <c r="Y34" i="2"/>
  <c r="Q34" i="2"/>
  <c r="AF34" i="2"/>
  <c r="X34" i="2"/>
  <c r="P34" i="2"/>
  <c r="W34" i="2"/>
  <c r="D100" i="2"/>
  <c r="E35" i="2"/>
  <c r="P35" i="2"/>
  <c r="AE38" i="2"/>
  <c r="AB42" i="2"/>
  <c r="O50" i="2"/>
  <c r="I128" i="2"/>
  <c r="AD63" i="2"/>
  <c r="V63" i="2"/>
  <c r="N63" i="2"/>
  <c r="AC63" i="2"/>
  <c r="U63" i="2"/>
  <c r="M63" i="2"/>
  <c r="AB63" i="2"/>
  <c r="L63" i="2"/>
  <c r="AA63" i="2"/>
  <c r="S63" i="2"/>
  <c r="Z63" i="2"/>
  <c r="R63" i="2"/>
  <c r="Y63" i="2"/>
  <c r="Q63" i="2"/>
  <c r="AB72" i="2"/>
  <c r="AF11" i="2"/>
  <c r="O14" i="2"/>
  <c r="P19" i="2"/>
  <c r="G87" i="2"/>
  <c r="AD22" i="2"/>
  <c r="V29" i="2"/>
  <c r="G106" i="2"/>
  <c r="Y41" i="2"/>
  <c r="Q41" i="2"/>
  <c r="AF41" i="2"/>
  <c r="X41" i="2"/>
  <c r="Y191" i="2" s="1"/>
  <c r="P41" i="2"/>
  <c r="AC41" i="2"/>
  <c r="U41" i="2"/>
  <c r="M41" i="2"/>
  <c r="AB41" i="2"/>
  <c r="AC191" i="2" s="1"/>
  <c r="L41" i="2"/>
  <c r="AA41" i="2"/>
  <c r="S41" i="2"/>
  <c r="I120" i="2"/>
  <c r="V55" i="2"/>
  <c r="N55" i="2"/>
  <c r="AC55" i="2"/>
  <c r="U55" i="2"/>
  <c r="M55" i="2"/>
  <c r="AB55" i="2"/>
  <c r="L55" i="2"/>
  <c r="Z55" i="2"/>
  <c r="R55" i="2"/>
  <c r="Y55" i="2"/>
  <c r="Q55" i="2"/>
  <c r="C18" i="1"/>
  <c r="C20" i="1"/>
  <c r="C22" i="1"/>
  <c r="C24" i="1"/>
  <c r="X190" i="2"/>
  <c r="AE190" i="2"/>
  <c r="AD189" i="2"/>
  <c r="V189" i="2"/>
  <c r="N189" i="2"/>
  <c r="AD190" i="2"/>
  <c r="N190" i="2"/>
  <c r="AC190" i="2"/>
  <c r="U190" i="2"/>
  <c r="Q189" i="2"/>
  <c r="AE155" i="2"/>
  <c r="V156" i="2"/>
  <c r="AC155" i="2"/>
  <c r="AB155" i="2"/>
  <c r="L156" i="2"/>
  <c r="AA155" i="2"/>
  <c r="S155" i="2"/>
  <c r="O7" i="8" s="1"/>
  <c r="Q155" i="2"/>
  <c r="M7" i="8" s="1"/>
  <c r="AE152" i="2"/>
  <c r="V151" i="2"/>
  <c r="N151" i="2"/>
  <c r="AC150" i="2"/>
  <c r="U150" i="2"/>
  <c r="M150" i="2"/>
  <c r="V141" i="2"/>
  <c r="W153" i="2"/>
  <c r="AB150" i="2"/>
  <c r="L150" i="2"/>
  <c r="W154" i="2"/>
  <c r="AC152" i="2"/>
  <c r="U152" i="2"/>
  <c r="M152" i="2"/>
  <c r="AA150" i="2"/>
  <c r="S150" i="2"/>
  <c r="AF145" i="2"/>
  <c r="AD154" i="2"/>
  <c r="AB152" i="2"/>
  <c r="L152" i="2"/>
  <c r="AA151" i="2"/>
  <c r="S151" i="2"/>
  <c r="Z150" i="2"/>
  <c r="R150" i="2"/>
  <c r="U143" i="2"/>
  <c r="AB190" i="2"/>
  <c r="P155" i="2"/>
  <c r="L7" i="8" s="1"/>
  <c r="AC154" i="2"/>
  <c r="U154" i="2"/>
  <c r="M154" i="2"/>
  <c r="I6" i="8" s="1"/>
  <c r="Z151" i="2"/>
  <c r="Y150" i="2"/>
  <c r="Q150" i="2"/>
  <c r="AB143" i="2"/>
  <c r="Z152" i="2"/>
  <c r="Q151" i="2"/>
  <c r="AF150" i="2"/>
  <c r="X150" i="2"/>
  <c r="P150" i="2"/>
  <c r="S189" i="2"/>
  <c r="M155" i="2"/>
  <c r="I7" i="8" s="1"/>
  <c r="R154" i="2"/>
  <c r="N6" i="8" s="1"/>
  <c r="AF152" i="2"/>
  <c r="P152" i="2"/>
  <c r="W151" i="2"/>
  <c r="O151" i="2"/>
  <c r="AD150" i="2"/>
  <c r="V150" i="2"/>
  <c r="N150" i="2"/>
  <c r="W141" i="2"/>
  <c r="AE150" i="2"/>
  <c r="W150" i="2"/>
  <c r="AF155" i="2"/>
  <c r="X151" i="2"/>
  <c r="AF151" i="2"/>
  <c r="P151" i="2"/>
  <c r="O150" i="2"/>
  <c r="D71" i="2"/>
  <c r="U141" i="2" s="1"/>
  <c r="L6" i="2"/>
  <c r="L151" i="2" s="1"/>
  <c r="T151" i="2" s="1"/>
  <c r="AB6" i="2"/>
  <c r="AB151" i="2" s="1"/>
  <c r="Q7" i="2"/>
  <c r="R190" i="2" s="1"/>
  <c r="Y7" i="2"/>
  <c r="N8" i="2"/>
  <c r="O190" i="2" s="1"/>
  <c r="V8" i="2"/>
  <c r="AD8" i="2"/>
  <c r="S9" i="2"/>
  <c r="AA9" i="2"/>
  <c r="AA153" i="2" s="1"/>
  <c r="P10" i="2"/>
  <c r="X10" i="2"/>
  <c r="AF10" i="2"/>
  <c r="E11" i="2"/>
  <c r="M11" i="2"/>
  <c r="M153" i="2" s="1"/>
  <c r="U11" i="2"/>
  <c r="AC11" i="2"/>
  <c r="R12" i="2"/>
  <c r="Z12" i="2"/>
  <c r="AC78" i="2"/>
  <c r="U78" i="2"/>
  <c r="M78" i="2"/>
  <c r="AB78" i="2"/>
  <c r="L78" i="2"/>
  <c r="AA78" i="2"/>
  <c r="S78" i="2"/>
  <c r="Z78" i="2"/>
  <c r="R78" i="2"/>
  <c r="Y78" i="2"/>
  <c r="Q78" i="2"/>
  <c r="AF78" i="2"/>
  <c r="X78" i="2"/>
  <c r="P78" i="2"/>
  <c r="AD78" i="2"/>
  <c r="V78" i="2"/>
  <c r="AE78" i="2"/>
  <c r="W78" i="2"/>
  <c r="O78" i="2"/>
  <c r="N78" i="2"/>
  <c r="O13" i="2"/>
  <c r="W13" i="2"/>
  <c r="AE13" i="2"/>
  <c r="L14" i="2"/>
  <c r="AB14" i="2"/>
  <c r="Q15" i="2"/>
  <c r="Y15" i="2"/>
  <c r="N16" i="2"/>
  <c r="N154" i="2" s="1"/>
  <c r="J6" i="8" s="1"/>
  <c r="V16" i="2"/>
  <c r="W189" i="2" s="1"/>
  <c r="AD16" i="2"/>
  <c r="AE189" i="2" s="1"/>
  <c r="S17" i="2"/>
  <c r="AA17" i="2"/>
  <c r="AA154" i="2" s="1"/>
  <c r="P18" i="2"/>
  <c r="X18" i="2"/>
  <c r="X154" i="2" s="1"/>
  <c r="AF18" i="2"/>
  <c r="E19" i="2"/>
  <c r="M19" i="2"/>
  <c r="U19" i="2"/>
  <c r="AG19" i="2" s="1"/>
  <c r="AC19" i="2"/>
  <c r="R20" i="2"/>
  <c r="Z20" i="2"/>
  <c r="AC86" i="2"/>
  <c r="U86" i="2"/>
  <c r="M86" i="2"/>
  <c r="AB86" i="2"/>
  <c r="L86" i="2"/>
  <c r="T86" i="2" s="1"/>
  <c r="AA86" i="2"/>
  <c r="S86" i="2"/>
  <c r="Z86" i="2"/>
  <c r="R86" i="2"/>
  <c r="Y86" i="2"/>
  <c r="Q86" i="2"/>
  <c r="AF86" i="2"/>
  <c r="X86" i="2"/>
  <c r="P86" i="2"/>
  <c r="AD86" i="2"/>
  <c r="V86" i="2"/>
  <c r="N86" i="2"/>
  <c r="AE86" i="2"/>
  <c r="W86" i="2"/>
  <c r="O86" i="2"/>
  <c r="O21" i="2"/>
  <c r="T21" i="2" s="1"/>
  <c r="W21" i="2"/>
  <c r="AE21" i="2"/>
  <c r="L22" i="2"/>
  <c r="AB22" i="2"/>
  <c r="W23" i="2"/>
  <c r="S25" i="2"/>
  <c r="G91" i="2"/>
  <c r="AC26" i="2"/>
  <c r="U26" i="2"/>
  <c r="M26" i="2"/>
  <c r="T26" i="2" s="1"/>
  <c r="Z26" i="2"/>
  <c r="R26" i="2"/>
  <c r="Y26" i="2"/>
  <c r="Q26" i="2"/>
  <c r="S26" i="2"/>
  <c r="AE26" i="2"/>
  <c r="P27" i="2"/>
  <c r="AB27" i="2"/>
  <c r="M28" i="2"/>
  <c r="Z28" i="2"/>
  <c r="O29" i="2"/>
  <c r="AE29" i="2"/>
  <c r="G95" i="2"/>
  <c r="Z30" i="2"/>
  <c r="R30" i="2"/>
  <c r="Y30" i="2"/>
  <c r="Q30" i="2"/>
  <c r="AD30" i="2"/>
  <c r="V30" i="2"/>
  <c r="N30" i="2"/>
  <c r="AC30" i="2"/>
  <c r="U30" i="2"/>
  <c r="AG30" i="2" s="1"/>
  <c r="M30" i="2"/>
  <c r="T30" i="2" s="1"/>
  <c r="U31" i="2"/>
  <c r="AE33" i="2"/>
  <c r="AA34" i="2"/>
  <c r="Q35" i="2"/>
  <c r="AF38" i="2"/>
  <c r="T40" i="2"/>
  <c r="O41" i="2"/>
  <c r="P191" i="2" s="1"/>
  <c r="AE42" i="2"/>
  <c r="I108" i="2"/>
  <c r="AA43" i="2"/>
  <c r="S43" i="2"/>
  <c r="R43" i="2"/>
  <c r="AC43" i="2"/>
  <c r="U43" i="2"/>
  <c r="M43" i="2"/>
  <c r="T43" i="2" s="1"/>
  <c r="X43" i="2"/>
  <c r="E113" i="2"/>
  <c r="W50" i="2"/>
  <c r="AF55" i="2"/>
  <c r="D124" i="2"/>
  <c r="E59" i="2"/>
  <c r="AE6" i="2"/>
  <c r="O22" i="2"/>
  <c r="AF22" i="2"/>
  <c r="E97" i="2"/>
  <c r="D24" i="1"/>
  <c r="E6" i="2"/>
  <c r="M6" i="2"/>
  <c r="M151" i="2" s="1"/>
  <c r="U6" i="2"/>
  <c r="U151" i="2" s="1"/>
  <c r="AC6" i="2"/>
  <c r="AC142" i="2" s="1"/>
  <c r="R7" i="2"/>
  <c r="S190" i="2" s="1"/>
  <c r="Z7" i="2"/>
  <c r="Z155" i="2" s="1"/>
  <c r="Z73" i="2"/>
  <c r="R73" i="2"/>
  <c r="Y73" i="2"/>
  <c r="Q73" i="2"/>
  <c r="AF73" i="2"/>
  <c r="X73" i="2"/>
  <c r="P73" i="2"/>
  <c r="AD73" i="2"/>
  <c r="V73" i="2"/>
  <c r="N73" i="2"/>
  <c r="W73" i="2"/>
  <c r="U73" i="2"/>
  <c r="S73" i="2"/>
  <c r="AE73" i="2"/>
  <c r="O73" i="2"/>
  <c r="AC73" i="2"/>
  <c r="M73" i="2"/>
  <c r="AB73" i="2"/>
  <c r="L73" i="2"/>
  <c r="O8" i="2"/>
  <c r="O155" i="2" s="1"/>
  <c r="K7" i="8" s="1"/>
  <c r="W8" i="2"/>
  <c r="W155" i="2" s="1"/>
  <c r="AE8" i="2"/>
  <c r="AF190" i="2" s="1"/>
  <c r="L9" i="2"/>
  <c r="T9" i="2" s="1"/>
  <c r="AB9" i="2"/>
  <c r="AB153" i="2" s="1"/>
  <c r="Q10" i="2"/>
  <c r="Q153" i="2" s="1"/>
  <c r="Y10" i="2"/>
  <c r="Y153" i="2" s="1"/>
  <c r="N11" i="2"/>
  <c r="N153" i="2" s="1"/>
  <c r="V11" i="2"/>
  <c r="AD11" i="2"/>
  <c r="AD153" i="2" s="1"/>
  <c r="S12" i="2"/>
  <c r="AA12" i="2"/>
  <c r="P13" i="2"/>
  <c r="X13" i="2"/>
  <c r="AF13" i="2"/>
  <c r="E14" i="2"/>
  <c r="M14" i="2"/>
  <c r="U14" i="2"/>
  <c r="AC14" i="2"/>
  <c r="R15" i="2"/>
  <c r="Z15" i="2"/>
  <c r="Z81" i="2"/>
  <c r="R81" i="2"/>
  <c r="Y81" i="2"/>
  <c r="Q81" i="2"/>
  <c r="AF81" i="2"/>
  <c r="X81" i="2"/>
  <c r="P81" i="2"/>
  <c r="AE81" i="2"/>
  <c r="W81" i="2"/>
  <c r="O81" i="2"/>
  <c r="AD81" i="2"/>
  <c r="V81" i="2"/>
  <c r="N81" i="2"/>
  <c r="AC81" i="2"/>
  <c r="U81" i="2"/>
  <c r="M81" i="2"/>
  <c r="AA81" i="2"/>
  <c r="S81" i="2"/>
  <c r="L81" i="2"/>
  <c r="AB81" i="2"/>
  <c r="O16" i="2"/>
  <c r="W16" i="2"/>
  <c r="W145" i="2" s="1"/>
  <c r="AE16" i="2"/>
  <c r="AF189" i="2" s="1"/>
  <c r="L17" i="2"/>
  <c r="AB17" i="2"/>
  <c r="AC189" i="2" s="1"/>
  <c r="AC192" i="2" s="1"/>
  <c r="Q18" i="2"/>
  <c r="R189" i="2" s="1"/>
  <c r="Y18" i="2"/>
  <c r="Y154" i="2" s="1"/>
  <c r="N19" i="2"/>
  <c r="V19" i="2"/>
  <c r="AD19" i="2"/>
  <c r="S20" i="2"/>
  <c r="AA20" i="2"/>
  <c r="P21" i="2"/>
  <c r="X21" i="2"/>
  <c r="AF21" i="2"/>
  <c r="M22" i="2"/>
  <c r="U22" i="2"/>
  <c r="AC22" i="2"/>
  <c r="L23" i="2"/>
  <c r="X23" i="2"/>
  <c r="Y190" i="2" s="1"/>
  <c r="V25" i="2"/>
  <c r="AF26" i="2"/>
  <c r="Q27" i="2"/>
  <c r="AC27" i="2"/>
  <c r="E93" i="2"/>
  <c r="N28" i="2"/>
  <c r="AC28" i="2"/>
  <c r="R29" i="2"/>
  <c r="W30" i="2"/>
  <c r="X31" i="2"/>
  <c r="N33" i="2"/>
  <c r="AB34" i="2"/>
  <c r="Z35" i="2"/>
  <c r="O38" i="2"/>
  <c r="I104" i="2"/>
  <c r="Y39" i="2"/>
  <c r="Y143" i="2" s="1"/>
  <c r="Q39" i="2"/>
  <c r="Q152" i="2" s="1"/>
  <c r="X39" i="2"/>
  <c r="X143" i="2" s="1"/>
  <c r="E105" i="2"/>
  <c r="R41" i="2"/>
  <c r="L42" i="2"/>
  <c r="M191" i="2" s="1"/>
  <c r="Y43" i="2"/>
  <c r="Z191" i="2" s="1"/>
  <c r="E109" i="2"/>
  <c r="P47" i="2"/>
  <c r="AE50" i="2"/>
  <c r="E129" i="2"/>
  <c r="J67" i="2"/>
  <c r="AA73" i="2"/>
  <c r="V79" i="2"/>
  <c r="AA102" i="2"/>
  <c r="AF102" i="2"/>
  <c r="W102" i="2"/>
  <c r="O102" i="2"/>
  <c r="AD102" i="2"/>
  <c r="U102" i="2"/>
  <c r="M102" i="2"/>
  <c r="AB102" i="2"/>
  <c r="S102" i="2"/>
  <c r="Z102" i="2"/>
  <c r="R102" i="2"/>
  <c r="Y102" i="2"/>
  <c r="Q102" i="2"/>
  <c r="V102" i="2"/>
  <c r="P102" i="2"/>
  <c r="N102" i="2"/>
  <c r="L102" i="2"/>
  <c r="AE102" i="2"/>
  <c r="X102" i="2"/>
  <c r="O37" i="2"/>
  <c r="W37" i="2"/>
  <c r="AE37" i="2"/>
  <c r="AB110" i="2"/>
  <c r="L110" i="2"/>
  <c r="AA110" i="2"/>
  <c r="S110" i="2"/>
  <c r="Z110" i="2"/>
  <c r="R110" i="2"/>
  <c r="AF110" i="2"/>
  <c r="X110" i="2"/>
  <c r="P110" i="2"/>
  <c r="Q110" i="2"/>
  <c r="AD110" i="2"/>
  <c r="N110" i="2"/>
  <c r="Y110" i="2"/>
  <c r="W110" i="2"/>
  <c r="V110" i="2"/>
  <c r="U110" i="2"/>
  <c r="O110" i="2"/>
  <c r="M110" i="2"/>
  <c r="AC110" i="2"/>
  <c r="O45" i="2"/>
  <c r="W45" i="2"/>
  <c r="AE45" i="2"/>
  <c r="L46" i="2"/>
  <c r="AB46" i="2"/>
  <c r="S49" i="2"/>
  <c r="AA49" i="2"/>
  <c r="M51" i="2"/>
  <c r="T51" i="2" s="1"/>
  <c r="U51" i="2"/>
  <c r="AC51" i="2"/>
  <c r="AD118" i="2"/>
  <c r="V118" i="2"/>
  <c r="N118" i="2"/>
  <c r="Y118" i="2"/>
  <c r="P118" i="2"/>
  <c r="X118" i="2"/>
  <c r="O118" i="2"/>
  <c r="AF118" i="2"/>
  <c r="W118" i="2"/>
  <c r="M118" i="2"/>
  <c r="AE118" i="2"/>
  <c r="U118" i="2"/>
  <c r="L118" i="2"/>
  <c r="AC118" i="2"/>
  <c r="AB118" i="2"/>
  <c r="S118" i="2"/>
  <c r="Z118" i="2"/>
  <c r="Q118" i="2"/>
  <c r="AA118" i="2"/>
  <c r="R118" i="2"/>
  <c r="O53" i="2"/>
  <c r="W53" i="2"/>
  <c r="AE53" i="2"/>
  <c r="L54" i="2"/>
  <c r="AB54" i="2"/>
  <c r="S57" i="2"/>
  <c r="AA57" i="2"/>
  <c r="M59" i="2"/>
  <c r="T59" i="2" s="1"/>
  <c r="U59" i="2"/>
  <c r="AC59" i="2"/>
  <c r="AE126" i="2"/>
  <c r="W126" i="2"/>
  <c r="O126" i="2"/>
  <c r="AD126" i="2"/>
  <c r="V126" i="2"/>
  <c r="N126" i="2"/>
  <c r="AB126" i="2"/>
  <c r="L126" i="2"/>
  <c r="AA126" i="2"/>
  <c r="S126" i="2"/>
  <c r="Y126" i="2"/>
  <c r="Q126" i="2"/>
  <c r="P126" i="2"/>
  <c r="M126" i="2"/>
  <c r="AF126" i="2"/>
  <c r="AC126" i="2"/>
  <c r="Z126" i="2"/>
  <c r="X126" i="2"/>
  <c r="R126" i="2"/>
  <c r="U126" i="2"/>
  <c r="O61" i="2"/>
  <c r="W61" i="2"/>
  <c r="AE61" i="2"/>
  <c r="L62" i="2"/>
  <c r="AB62" i="2"/>
  <c r="S65" i="2"/>
  <c r="AA65" i="2"/>
  <c r="G100" i="2"/>
  <c r="AB89" i="2"/>
  <c r="L89" i="2"/>
  <c r="Z89" i="2"/>
  <c r="R89" i="2"/>
  <c r="AD89" i="2"/>
  <c r="X89" i="2"/>
  <c r="N89" i="2"/>
  <c r="W89" i="2"/>
  <c r="M89" i="2"/>
  <c r="V89" i="2"/>
  <c r="AF89" i="2"/>
  <c r="U89" i="2"/>
  <c r="AE89" i="2"/>
  <c r="S89" i="2"/>
  <c r="AC89" i="2"/>
  <c r="Q89" i="2"/>
  <c r="Y89" i="2"/>
  <c r="O89" i="2"/>
  <c r="O24" i="2"/>
  <c r="T24" i="2" s="1"/>
  <c r="W24" i="2"/>
  <c r="AG24" i="2" s="1"/>
  <c r="AE24" i="2"/>
  <c r="N27" i="2"/>
  <c r="V27" i="2"/>
  <c r="AD27" i="2"/>
  <c r="S28" i="2"/>
  <c r="AA28" i="2"/>
  <c r="R31" i="2"/>
  <c r="Z31" i="2"/>
  <c r="AB97" i="2"/>
  <c r="L97" i="2"/>
  <c r="Z97" i="2"/>
  <c r="R97" i="2"/>
  <c r="AF97" i="2"/>
  <c r="X97" i="2"/>
  <c r="P97" i="2"/>
  <c r="AE97" i="2"/>
  <c r="W97" i="2"/>
  <c r="O97" i="2"/>
  <c r="AD97" i="2"/>
  <c r="V97" i="2"/>
  <c r="N97" i="2"/>
  <c r="Q97" i="2"/>
  <c r="M97" i="2"/>
  <c r="AC97" i="2"/>
  <c r="AA97" i="2"/>
  <c r="Y97" i="2"/>
  <c r="S97" i="2"/>
  <c r="O32" i="2"/>
  <c r="T32" i="2" s="1"/>
  <c r="W32" i="2"/>
  <c r="AE32" i="2"/>
  <c r="N35" i="2"/>
  <c r="V35" i="2"/>
  <c r="AD35" i="2"/>
  <c r="S36" i="2"/>
  <c r="AA36" i="2"/>
  <c r="P37" i="2"/>
  <c r="X37" i="2"/>
  <c r="AF37" i="2"/>
  <c r="E38" i="2"/>
  <c r="R39" i="2"/>
  <c r="R143" i="2" s="1"/>
  <c r="Z39" i="2"/>
  <c r="Z143" i="2" s="1"/>
  <c r="Y105" i="2"/>
  <c r="Q105" i="2"/>
  <c r="AF105" i="2"/>
  <c r="X105" i="2"/>
  <c r="P105" i="2"/>
  <c r="AE105" i="2"/>
  <c r="W105" i="2"/>
  <c r="O105" i="2"/>
  <c r="AC105" i="2"/>
  <c r="R105" i="2"/>
  <c r="AA105" i="2"/>
  <c r="M105" i="2"/>
  <c r="Z105" i="2"/>
  <c r="L105" i="2"/>
  <c r="V105" i="2"/>
  <c r="AD105" i="2"/>
  <c r="AB105" i="2"/>
  <c r="U105" i="2"/>
  <c r="AG105" i="2" s="1"/>
  <c r="S105" i="2"/>
  <c r="O40" i="2"/>
  <c r="W40" i="2"/>
  <c r="AE40" i="2"/>
  <c r="N43" i="2"/>
  <c r="V43" i="2"/>
  <c r="AD43" i="2"/>
  <c r="S44" i="2"/>
  <c r="AA44" i="2"/>
  <c r="P45" i="2"/>
  <c r="X45" i="2"/>
  <c r="AF45" i="2"/>
  <c r="E46" i="2"/>
  <c r="M46" i="2"/>
  <c r="U46" i="2"/>
  <c r="AC46" i="2"/>
  <c r="R47" i="2"/>
  <c r="Z47" i="2"/>
  <c r="AA113" i="2"/>
  <c r="Y113" i="2"/>
  <c r="Q113" i="2"/>
  <c r="X113" i="2"/>
  <c r="P113" i="2"/>
  <c r="AF113" i="2"/>
  <c r="W113" i="2"/>
  <c r="O113" i="2"/>
  <c r="AE113" i="2"/>
  <c r="V113" i="2"/>
  <c r="N113" i="2"/>
  <c r="AD113" i="2"/>
  <c r="U113" i="2"/>
  <c r="M113" i="2"/>
  <c r="AC113" i="2"/>
  <c r="L113" i="2"/>
  <c r="Z113" i="2"/>
  <c r="R113" i="2"/>
  <c r="S113" i="2"/>
  <c r="AB113" i="2"/>
  <c r="O48" i="2"/>
  <c r="T48" i="2" s="1"/>
  <c r="W48" i="2"/>
  <c r="AG48" i="2" s="1"/>
  <c r="AE48" i="2"/>
  <c r="L49" i="2"/>
  <c r="AB49" i="2"/>
  <c r="N51" i="2"/>
  <c r="V51" i="2"/>
  <c r="AD51" i="2"/>
  <c r="P53" i="2"/>
  <c r="X53" i="2"/>
  <c r="AF53" i="2"/>
  <c r="E54" i="2"/>
  <c r="M54" i="2"/>
  <c r="U54" i="2"/>
  <c r="AC54" i="2"/>
  <c r="AA121" i="2"/>
  <c r="S121" i="2"/>
  <c r="AF121" i="2"/>
  <c r="X121" i="2"/>
  <c r="P121" i="2"/>
  <c r="W121" i="2"/>
  <c r="M121" i="2"/>
  <c r="V121" i="2"/>
  <c r="L121" i="2"/>
  <c r="AE121" i="2"/>
  <c r="U121" i="2"/>
  <c r="AD121" i="2"/>
  <c r="AC121" i="2"/>
  <c r="R121" i="2"/>
  <c r="AB121" i="2"/>
  <c r="Q121" i="2"/>
  <c r="Y121" i="2"/>
  <c r="N121" i="2"/>
  <c r="O121" i="2"/>
  <c r="Z121" i="2"/>
  <c r="O56" i="2"/>
  <c r="W56" i="2"/>
  <c r="AG56" i="2" s="1"/>
  <c r="AE56" i="2"/>
  <c r="L57" i="2"/>
  <c r="AB57" i="2"/>
  <c r="N59" i="2"/>
  <c r="V59" i="2"/>
  <c r="AD59" i="2"/>
  <c r="P61" i="2"/>
  <c r="X61" i="2"/>
  <c r="AF61" i="2"/>
  <c r="E62" i="2"/>
  <c r="M62" i="2"/>
  <c r="U62" i="2"/>
  <c r="AC62" i="2"/>
  <c r="Z129" i="2"/>
  <c r="R129" i="2"/>
  <c r="Y129" i="2"/>
  <c r="AE129" i="2"/>
  <c r="U129" i="2"/>
  <c r="L129" i="2"/>
  <c r="T129" i="2" s="1"/>
  <c r="AD129" i="2"/>
  <c r="AB129" i="2"/>
  <c r="Q129" i="2"/>
  <c r="AA129" i="2"/>
  <c r="P129" i="2"/>
  <c r="W129" i="2"/>
  <c r="N129" i="2"/>
  <c r="X129" i="2"/>
  <c r="V129" i="2"/>
  <c r="S129" i="2"/>
  <c r="O129" i="2"/>
  <c r="M129" i="2"/>
  <c r="AC129" i="2"/>
  <c r="AF129" i="2"/>
  <c r="O64" i="2"/>
  <c r="W64" i="2"/>
  <c r="AG64" i="2" s="1"/>
  <c r="AE64" i="2"/>
  <c r="L65" i="2"/>
  <c r="AB65" i="2"/>
  <c r="P24" i="2"/>
  <c r="X24" i="2"/>
  <c r="AF24" i="2"/>
  <c r="E25" i="2"/>
  <c r="Y92" i="2"/>
  <c r="Q92" i="2"/>
  <c r="AE92" i="2"/>
  <c r="W92" i="2"/>
  <c r="O92" i="2"/>
  <c r="AC92" i="2"/>
  <c r="U92" i="2"/>
  <c r="M92" i="2"/>
  <c r="AB92" i="2"/>
  <c r="L92" i="2"/>
  <c r="AA92" i="2"/>
  <c r="S92" i="2"/>
  <c r="AF92" i="2"/>
  <c r="AD92" i="2"/>
  <c r="Z92" i="2"/>
  <c r="X92" i="2"/>
  <c r="V92" i="2"/>
  <c r="R92" i="2"/>
  <c r="N92" i="2"/>
  <c r="O27" i="2"/>
  <c r="W27" i="2"/>
  <c r="AE27" i="2"/>
  <c r="L28" i="2"/>
  <c r="AB28" i="2"/>
  <c r="S31" i="2"/>
  <c r="AA31" i="2"/>
  <c r="P32" i="2"/>
  <c r="X32" i="2"/>
  <c r="AF32" i="2"/>
  <c r="E33" i="2"/>
  <c r="O35" i="2"/>
  <c r="W35" i="2"/>
  <c r="AE35" i="2"/>
  <c r="L36" i="2"/>
  <c r="AB36" i="2"/>
  <c r="Q37" i="2"/>
  <c r="Y37" i="2"/>
  <c r="S39" i="2"/>
  <c r="S143" i="2" s="1"/>
  <c r="AA39" i="2"/>
  <c r="AA143" i="2" s="1"/>
  <c r="P40" i="2"/>
  <c r="X40" i="2"/>
  <c r="AF40" i="2"/>
  <c r="E41" i="2"/>
  <c r="AD108" i="2"/>
  <c r="V108" i="2"/>
  <c r="N108" i="2"/>
  <c r="AC108" i="2"/>
  <c r="U108" i="2"/>
  <c r="M108" i="2"/>
  <c r="AB108" i="2"/>
  <c r="L108" i="2"/>
  <c r="X108" i="2"/>
  <c r="S108" i="2"/>
  <c r="AE108" i="2"/>
  <c r="Q108" i="2"/>
  <c r="AA108" i="2"/>
  <c r="P108" i="2"/>
  <c r="Z108" i="2"/>
  <c r="O108" i="2"/>
  <c r="AF108" i="2"/>
  <c r="Y108" i="2"/>
  <c r="W108" i="2"/>
  <c r="O43" i="2"/>
  <c r="W43" i="2"/>
  <c r="AE43" i="2"/>
  <c r="L44" i="2"/>
  <c r="AB44" i="2"/>
  <c r="AB156" i="2" s="1"/>
  <c r="Q45" i="2"/>
  <c r="Y45" i="2"/>
  <c r="N46" i="2"/>
  <c r="V46" i="2"/>
  <c r="AD46" i="2"/>
  <c r="S47" i="2"/>
  <c r="AA47" i="2"/>
  <c r="P48" i="2"/>
  <c r="X48" i="2"/>
  <c r="AF48" i="2"/>
  <c r="E49" i="2"/>
  <c r="M49" i="2"/>
  <c r="U49" i="2"/>
  <c r="AC49" i="2"/>
  <c r="AF116" i="2"/>
  <c r="X116" i="2"/>
  <c r="P116" i="2"/>
  <c r="AA116" i="2"/>
  <c r="R116" i="2"/>
  <c r="Z116" i="2"/>
  <c r="Q116" i="2"/>
  <c r="Y116" i="2"/>
  <c r="O116" i="2"/>
  <c r="W116" i="2"/>
  <c r="N116" i="2"/>
  <c r="AE116" i="2"/>
  <c r="V116" i="2"/>
  <c r="M116" i="2"/>
  <c r="AD116" i="2"/>
  <c r="U116" i="2"/>
  <c r="AG116" i="2" s="1"/>
  <c r="L116" i="2"/>
  <c r="T116" i="2" s="1"/>
  <c r="AB116" i="2"/>
  <c r="S116" i="2"/>
  <c r="AC116" i="2"/>
  <c r="O51" i="2"/>
  <c r="W51" i="2"/>
  <c r="AE51" i="2"/>
  <c r="L52" i="2"/>
  <c r="T52" i="2" s="1"/>
  <c r="AB52" i="2"/>
  <c r="Q53" i="2"/>
  <c r="Y53" i="2"/>
  <c r="N54" i="2"/>
  <c r="V54" i="2"/>
  <c r="AD54" i="2"/>
  <c r="S55" i="2"/>
  <c r="AA55" i="2"/>
  <c r="P56" i="2"/>
  <c r="X56" i="2"/>
  <c r="AF56" i="2"/>
  <c r="E57" i="2"/>
  <c r="M57" i="2"/>
  <c r="U57" i="2"/>
  <c r="AC57" i="2"/>
  <c r="Y124" i="2"/>
  <c r="Q124" i="2"/>
  <c r="AF124" i="2"/>
  <c r="X124" i="2"/>
  <c r="P124" i="2"/>
  <c r="AC124" i="2"/>
  <c r="U124" i="2"/>
  <c r="M124" i="2"/>
  <c r="AA124" i="2"/>
  <c r="S124" i="2"/>
  <c r="AE124" i="2"/>
  <c r="O124" i="2"/>
  <c r="AD124" i="2"/>
  <c r="N124" i="2"/>
  <c r="AB124" i="2"/>
  <c r="L124" i="2"/>
  <c r="T124" i="2" s="1"/>
  <c r="Z124" i="2"/>
  <c r="W124" i="2"/>
  <c r="V124" i="2"/>
  <c r="R124" i="2"/>
  <c r="O59" i="2"/>
  <c r="W59" i="2"/>
  <c r="AE59" i="2"/>
  <c r="AB60" i="2"/>
  <c r="Q61" i="2"/>
  <c r="Y61" i="2"/>
  <c r="N62" i="2"/>
  <c r="V62" i="2"/>
  <c r="AD62" i="2"/>
  <c r="P64" i="2"/>
  <c r="X64" i="2"/>
  <c r="AF64" i="2"/>
  <c r="E65" i="2"/>
  <c r="M65" i="2"/>
  <c r="U65" i="2"/>
  <c r="AC65" i="2"/>
  <c r="R108" i="2"/>
  <c r="AA111" i="2"/>
  <c r="S111" i="2"/>
  <c r="Z111" i="2"/>
  <c r="R111" i="2"/>
  <c r="Y111" i="2"/>
  <c r="Q111" i="2"/>
  <c r="AE111" i="2"/>
  <c r="W111" i="2"/>
  <c r="O111" i="2"/>
  <c r="AF111" i="2"/>
  <c r="P111" i="2"/>
  <c r="AC111" i="2"/>
  <c r="M111" i="2"/>
  <c r="X111" i="2"/>
  <c r="V111" i="2"/>
  <c r="U111" i="2"/>
  <c r="AD111" i="2"/>
  <c r="AB111" i="2"/>
  <c r="N111" i="2"/>
  <c r="L111" i="2"/>
  <c r="O46" i="2"/>
  <c r="W46" i="2"/>
  <c r="AE46" i="2"/>
  <c r="N49" i="2"/>
  <c r="V49" i="2"/>
  <c r="AD49" i="2"/>
  <c r="P51" i="2"/>
  <c r="X51" i="2"/>
  <c r="AF51" i="2"/>
  <c r="AC119" i="2"/>
  <c r="U119" i="2"/>
  <c r="M119" i="2"/>
  <c r="AB119" i="2"/>
  <c r="S119" i="2"/>
  <c r="AA119" i="2"/>
  <c r="R119" i="2"/>
  <c r="Z119" i="2"/>
  <c r="Q119" i="2"/>
  <c r="Y119" i="2"/>
  <c r="P119" i="2"/>
  <c r="X119" i="2"/>
  <c r="O119" i="2"/>
  <c r="AF119" i="2"/>
  <c r="W119" i="2"/>
  <c r="N119" i="2"/>
  <c r="AD119" i="2"/>
  <c r="V119" i="2"/>
  <c r="AE119" i="2"/>
  <c r="L119" i="2"/>
  <c r="T119" i="2" s="1"/>
  <c r="O54" i="2"/>
  <c r="W54" i="2"/>
  <c r="AE54" i="2"/>
  <c r="N57" i="2"/>
  <c r="V57" i="2"/>
  <c r="AD57" i="2"/>
  <c r="P59" i="2"/>
  <c r="X59" i="2"/>
  <c r="AF59" i="2"/>
  <c r="AD127" i="2"/>
  <c r="V127" i="2"/>
  <c r="N127" i="2"/>
  <c r="AC127" i="2"/>
  <c r="U127" i="2"/>
  <c r="M127" i="2"/>
  <c r="AA127" i="2"/>
  <c r="S127" i="2"/>
  <c r="Z127" i="2"/>
  <c r="R127" i="2"/>
  <c r="AF127" i="2"/>
  <c r="X127" i="2"/>
  <c r="P127" i="2"/>
  <c r="Y127" i="2"/>
  <c r="W127" i="2"/>
  <c r="Q127" i="2"/>
  <c r="O127" i="2"/>
  <c r="L127" i="2"/>
  <c r="AB127" i="2"/>
  <c r="AE127" i="2"/>
  <c r="O62" i="2"/>
  <c r="W62" i="2"/>
  <c r="AE62" i="2"/>
  <c r="N65" i="2"/>
  <c r="V65" i="2"/>
  <c r="AD65" i="2"/>
  <c r="P46" i="2"/>
  <c r="X46" i="2"/>
  <c r="AF46" i="2"/>
  <c r="E47" i="2"/>
  <c r="Z114" i="2"/>
  <c r="R114" i="2"/>
  <c r="AC114" i="2"/>
  <c r="AB114" i="2"/>
  <c r="S114" i="2"/>
  <c r="AA114" i="2"/>
  <c r="Q114" i="2"/>
  <c r="Y114" i="2"/>
  <c r="P114" i="2"/>
  <c r="X114" i="2"/>
  <c r="O114" i="2"/>
  <c r="AF114" i="2"/>
  <c r="W114" i="2"/>
  <c r="N114" i="2"/>
  <c r="AD114" i="2"/>
  <c r="U114" i="2"/>
  <c r="AG114" i="2" s="1"/>
  <c r="L114" i="2"/>
  <c r="T114" i="2" s="1"/>
  <c r="V114" i="2"/>
  <c r="M114" i="2"/>
  <c r="AE114" i="2"/>
  <c r="O49" i="2"/>
  <c r="W49" i="2"/>
  <c r="AE49" i="2"/>
  <c r="P54" i="2"/>
  <c r="X54" i="2"/>
  <c r="AF54" i="2"/>
  <c r="AA122" i="2"/>
  <c r="Z122" i="2"/>
  <c r="R122" i="2"/>
  <c r="AE122" i="2"/>
  <c r="W122" i="2"/>
  <c r="O122" i="2"/>
  <c r="V122" i="2"/>
  <c r="L122" i="2"/>
  <c r="U122" i="2"/>
  <c r="AF122" i="2"/>
  <c r="AD122" i="2"/>
  <c r="S122" i="2"/>
  <c r="AC122" i="2"/>
  <c r="Q122" i="2"/>
  <c r="AB122" i="2"/>
  <c r="P122" i="2"/>
  <c r="X122" i="2"/>
  <c r="M122" i="2"/>
  <c r="Y122" i="2"/>
  <c r="O57" i="2"/>
  <c r="W57" i="2"/>
  <c r="AE57" i="2"/>
  <c r="P62" i="2"/>
  <c r="X62" i="2"/>
  <c r="AF62" i="2"/>
  <c r="Y130" i="2"/>
  <c r="Q130" i="2"/>
  <c r="AF130" i="2"/>
  <c r="X130" i="2"/>
  <c r="P130" i="2"/>
  <c r="Z130" i="2"/>
  <c r="R130" i="2"/>
  <c r="W130" i="2"/>
  <c r="L130" i="2"/>
  <c r="V130" i="2"/>
  <c r="AE130" i="2"/>
  <c r="AD130" i="2"/>
  <c r="S130" i="2"/>
  <c r="AB130" i="2"/>
  <c r="N130" i="2"/>
  <c r="AA130" i="2"/>
  <c r="U130" i="2"/>
  <c r="O130" i="2"/>
  <c r="M130" i="2"/>
  <c r="AC130" i="2"/>
  <c r="O65" i="2"/>
  <c r="W65" i="2"/>
  <c r="AE65" i="2"/>
  <c r="P92" i="2"/>
  <c r="U97" i="2"/>
  <c r="AC102" i="2"/>
  <c r="AE110" i="2"/>
  <c r="S24" i="2"/>
  <c r="AA24" i="2"/>
  <c r="R27" i="2"/>
  <c r="Z27" i="2"/>
  <c r="AF93" i="2"/>
  <c r="X93" i="2"/>
  <c r="P93" i="2"/>
  <c r="AD93" i="2"/>
  <c r="V93" i="2"/>
  <c r="N93" i="2"/>
  <c r="AB93" i="2"/>
  <c r="L93" i="2"/>
  <c r="AA93" i="2"/>
  <c r="S93" i="2"/>
  <c r="Z93" i="2"/>
  <c r="R93" i="2"/>
  <c r="U93" i="2"/>
  <c r="Q93" i="2"/>
  <c r="O93" i="2"/>
  <c r="M93" i="2"/>
  <c r="AE93" i="2"/>
  <c r="AC93" i="2"/>
  <c r="W93" i="2"/>
  <c r="O28" i="2"/>
  <c r="W28" i="2"/>
  <c r="AE28" i="2"/>
  <c r="N31" i="2"/>
  <c r="T31" i="2" s="1"/>
  <c r="V31" i="2"/>
  <c r="AD31" i="2"/>
  <c r="S32" i="2"/>
  <c r="AA32" i="2"/>
  <c r="AF101" i="2"/>
  <c r="X101" i="2"/>
  <c r="P101" i="2"/>
  <c r="AD101" i="2"/>
  <c r="V101" i="2"/>
  <c r="N101" i="2"/>
  <c r="AB101" i="2"/>
  <c r="L101" i="2"/>
  <c r="AA101" i="2"/>
  <c r="S101" i="2"/>
  <c r="Z101" i="2"/>
  <c r="R101" i="2"/>
  <c r="M101" i="2"/>
  <c r="AE101" i="2"/>
  <c r="AC101" i="2"/>
  <c r="Y101" i="2"/>
  <c r="W101" i="2"/>
  <c r="U101" i="2"/>
  <c r="O101" i="2"/>
  <c r="O36" i="2"/>
  <c r="W36" i="2"/>
  <c r="AG36" i="2" s="1"/>
  <c r="AE36" i="2"/>
  <c r="L37" i="2"/>
  <c r="AB37" i="2"/>
  <c r="N39" i="2"/>
  <c r="N143" i="2" s="1"/>
  <c r="V39" i="2"/>
  <c r="V152" i="2" s="1"/>
  <c r="AD39" i="2"/>
  <c r="AD152" i="2" s="1"/>
  <c r="S40" i="2"/>
  <c r="AA40" i="2"/>
  <c r="Z43" i="2"/>
  <c r="AA191" i="2" s="1"/>
  <c r="AC109" i="2"/>
  <c r="U109" i="2"/>
  <c r="M109" i="2"/>
  <c r="AB109" i="2"/>
  <c r="L109" i="2"/>
  <c r="AA109" i="2"/>
  <c r="S109" i="2"/>
  <c r="Y109" i="2"/>
  <c r="Q109" i="2"/>
  <c r="R109" i="2"/>
  <c r="AE109" i="2"/>
  <c r="O109" i="2"/>
  <c r="Z109" i="2"/>
  <c r="X109" i="2"/>
  <c r="W109" i="2"/>
  <c r="N109" i="2"/>
  <c r="AF109" i="2"/>
  <c r="AD109" i="2"/>
  <c r="P109" i="2"/>
  <c r="O44" i="2"/>
  <c r="W44" i="2"/>
  <c r="AE44" i="2"/>
  <c r="L45" i="2"/>
  <c r="AB45" i="2"/>
  <c r="Q46" i="2"/>
  <c r="Y46" i="2"/>
  <c r="N47" i="2"/>
  <c r="O191" i="2" s="1"/>
  <c r="V47" i="2"/>
  <c r="AD47" i="2"/>
  <c r="S48" i="2"/>
  <c r="AA48" i="2"/>
  <c r="P49" i="2"/>
  <c r="X49" i="2"/>
  <c r="AF49" i="2"/>
  <c r="E50" i="2"/>
  <c r="R51" i="2"/>
  <c r="Z51" i="2"/>
  <c r="AE117" i="2"/>
  <c r="W117" i="2"/>
  <c r="O117" i="2"/>
  <c r="AD117" i="2"/>
  <c r="U117" i="2"/>
  <c r="L117" i="2"/>
  <c r="T117" i="2" s="1"/>
  <c r="AC117" i="2"/>
  <c r="AB117" i="2"/>
  <c r="S117" i="2"/>
  <c r="AA117" i="2"/>
  <c r="R117" i="2"/>
  <c r="Z117" i="2"/>
  <c r="Q117" i="2"/>
  <c r="Y117" i="2"/>
  <c r="P117" i="2"/>
  <c r="AF117" i="2"/>
  <c r="V117" i="2"/>
  <c r="M117" i="2"/>
  <c r="N117" i="2"/>
  <c r="X117" i="2"/>
  <c r="O52" i="2"/>
  <c r="W52" i="2"/>
  <c r="AG52" i="2" s="1"/>
  <c r="AE52" i="2"/>
  <c r="L53" i="2"/>
  <c r="AB53" i="2"/>
  <c r="Q54" i="2"/>
  <c r="Y54" i="2"/>
  <c r="AD55" i="2"/>
  <c r="S56" i="2"/>
  <c r="AA56" i="2"/>
  <c r="P57" i="2"/>
  <c r="X57" i="2"/>
  <c r="AF57" i="2"/>
  <c r="E58" i="2"/>
  <c r="R59" i="2"/>
  <c r="Z59" i="2"/>
  <c r="AF125" i="2"/>
  <c r="X125" i="2"/>
  <c r="P125" i="2"/>
  <c r="AE125" i="2"/>
  <c r="W125" i="2"/>
  <c r="O125" i="2"/>
  <c r="AB125" i="2"/>
  <c r="L125" i="2"/>
  <c r="Z125" i="2"/>
  <c r="R125" i="2"/>
  <c r="AD125" i="2"/>
  <c r="N125" i="2"/>
  <c r="AC125" i="2"/>
  <c r="M125" i="2"/>
  <c r="AA125" i="2"/>
  <c r="Y125" i="2"/>
  <c r="V125" i="2"/>
  <c r="U125" i="2"/>
  <c r="AG125" i="2" s="1"/>
  <c r="Q125" i="2"/>
  <c r="S125" i="2"/>
  <c r="O60" i="2"/>
  <c r="T60" i="2" s="1"/>
  <c r="W60" i="2"/>
  <c r="AE60" i="2"/>
  <c r="L61" i="2"/>
  <c r="AB61" i="2"/>
  <c r="Q62" i="2"/>
  <c r="Y62" i="2"/>
  <c r="S64" i="2"/>
  <c r="AA64" i="2"/>
  <c r="P65" i="2"/>
  <c r="X65" i="2"/>
  <c r="AF65" i="2"/>
  <c r="AC96" i="2"/>
  <c r="U96" i="2"/>
  <c r="M96" i="2"/>
  <c r="T96" i="2" s="1"/>
  <c r="AA96" i="2"/>
  <c r="S96" i="2"/>
  <c r="Y96" i="2"/>
  <c r="Q96" i="2"/>
  <c r="AF96" i="2"/>
  <c r="X96" i="2"/>
  <c r="P96" i="2"/>
  <c r="AE96" i="2"/>
  <c r="W96" i="2"/>
  <c r="O96" i="2"/>
  <c r="AB96" i="2"/>
  <c r="Z96" i="2"/>
  <c r="V96" i="2"/>
  <c r="R96" i="2"/>
  <c r="N96" i="2"/>
  <c r="AD96" i="2"/>
  <c r="O31" i="2"/>
  <c r="W31" i="2"/>
  <c r="AE31" i="2"/>
  <c r="P36" i="2"/>
  <c r="X36" i="2"/>
  <c r="AF36" i="2"/>
  <c r="M37" i="2"/>
  <c r="U37" i="2"/>
  <c r="AC37" i="2"/>
  <c r="Y104" i="2"/>
  <c r="Q104" i="2"/>
  <c r="AF104" i="2"/>
  <c r="X104" i="2"/>
  <c r="P104" i="2"/>
  <c r="AD104" i="2"/>
  <c r="AB104" i="2"/>
  <c r="R104" i="2"/>
  <c r="Z104" i="2"/>
  <c r="N104" i="2"/>
  <c r="W104" i="2"/>
  <c r="M104" i="2"/>
  <c r="V104" i="2"/>
  <c r="L104" i="2"/>
  <c r="AE104" i="2"/>
  <c r="AC104" i="2"/>
  <c r="AA104" i="2"/>
  <c r="U104" i="2"/>
  <c r="O104" i="2"/>
  <c r="O39" i="2"/>
  <c r="O152" i="2" s="1"/>
  <c r="W39" i="2"/>
  <c r="AE39" i="2"/>
  <c r="AE143" i="2" s="1"/>
  <c r="P44" i="2"/>
  <c r="Q191" i="2" s="1"/>
  <c r="X44" i="2"/>
  <c r="AF44" i="2"/>
  <c r="M45" i="2"/>
  <c r="U45" i="2"/>
  <c r="AC45" i="2"/>
  <c r="R46" i="2"/>
  <c r="Z46" i="2"/>
  <c r="Z112" i="2"/>
  <c r="R112" i="2"/>
  <c r="Y112" i="2"/>
  <c r="Q112" i="2"/>
  <c r="AF112" i="2"/>
  <c r="X112" i="2"/>
  <c r="P112" i="2"/>
  <c r="AE112" i="2"/>
  <c r="AD112" i="2"/>
  <c r="V112" i="2"/>
  <c r="N112" i="2"/>
  <c r="AC112" i="2"/>
  <c r="U112" i="2"/>
  <c r="O112" i="2"/>
  <c r="L112" i="2"/>
  <c r="AA112" i="2"/>
  <c r="W112" i="2"/>
  <c r="AB112" i="2"/>
  <c r="S112" i="2"/>
  <c r="M112" i="2"/>
  <c r="O47" i="2"/>
  <c r="W47" i="2"/>
  <c r="AE47" i="2"/>
  <c r="Q49" i="2"/>
  <c r="Y49" i="2"/>
  <c r="S51" i="2"/>
  <c r="AA51" i="2"/>
  <c r="P52" i="2"/>
  <c r="X52" i="2"/>
  <c r="AF52" i="2"/>
  <c r="E53" i="2"/>
  <c r="M53" i="2"/>
  <c r="U53" i="2"/>
  <c r="AG53" i="2" s="1"/>
  <c r="AC53" i="2"/>
  <c r="R54" i="2"/>
  <c r="Z54" i="2"/>
  <c r="AB120" i="2"/>
  <c r="L120" i="2"/>
  <c r="Y120" i="2"/>
  <c r="Q120" i="2"/>
  <c r="X120" i="2"/>
  <c r="N120" i="2"/>
  <c r="W120" i="2"/>
  <c r="M120" i="2"/>
  <c r="AF120" i="2"/>
  <c r="V120" i="2"/>
  <c r="AE120" i="2"/>
  <c r="U120" i="2"/>
  <c r="AD120" i="2"/>
  <c r="S120" i="2"/>
  <c r="AC120" i="2"/>
  <c r="R120" i="2"/>
  <c r="Z120" i="2"/>
  <c r="O120" i="2"/>
  <c r="AA120" i="2"/>
  <c r="P120" i="2"/>
  <c r="O55" i="2"/>
  <c r="W55" i="2"/>
  <c r="AE55" i="2"/>
  <c r="L56" i="2"/>
  <c r="T56" i="2" s="1"/>
  <c r="AB56" i="2"/>
  <c r="Q57" i="2"/>
  <c r="Y57" i="2"/>
  <c r="S59" i="2"/>
  <c r="AA59" i="2"/>
  <c r="P60" i="2"/>
  <c r="X60" i="2"/>
  <c r="AF60" i="2"/>
  <c r="E61" i="2"/>
  <c r="M61" i="2"/>
  <c r="U61" i="2"/>
  <c r="AG61" i="2" s="1"/>
  <c r="AC61" i="2"/>
  <c r="R62" i="2"/>
  <c r="Z62" i="2"/>
  <c r="AC128" i="2"/>
  <c r="U128" i="2"/>
  <c r="M128" i="2"/>
  <c r="AB128" i="2"/>
  <c r="L128" i="2"/>
  <c r="Z128" i="2"/>
  <c r="R128" i="2"/>
  <c r="Y128" i="2"/>
  <c r="Q128" i="2"/>
  <c r="AE128" i="2"/>
  <c r="W128" i="2"/>
  <c r="O128" i="2"/>
  <c r="N128" i="2"/>
  <c r="AF128" i="2"/>
  <c r="AD128" i="2"/>
  <c r="AA128" i="2"/>
  <c r="X128" i="2"/>
  <c r="V128" i="2"/>
  <c r="P128" i="2"/>
  <c r="S128" i="2"/>
  <c r="O63" i="2"/>
  <c r="W63" i="2"/>
  <c r="AE63" i="2"/>
  <c r="L64" i="2"/>
  <c r="T64" i="2" s="1"/>
  <c r="AB64" i="2"/>
  <c r="Q65" i="2"/>
  <c r="Y65" i="2"/>
  <c r="P89" i="2"/>
  <c r="Y93" i="2"/>
  <c r="S104" i="2"/>
  <c r="R167" i="2"/>
  <c r="J176" i="2"/>
  <c r="AA164" i="2"/>
  <c r="W164" i="2"/>
  <c r="U164" i="2"/>
  <c r="AC164" i="2"/>
  <c r="AE164" i="2"/>
  <c r="I171" i="2"/>
  <c r="E179" i="2"/>
  <c r="F167" i="2"/>
  <c r="F179" i="2" s="1"/>
  <c r="W166" i="2"/>
  <c r="R169" i="2"/>
  <c r="W168" i="2"/>
  <c r="Y170" i="2"/>
  <c r="H174" i="2"/>
  <c r="Z162" i="2"/>
  <c r="AF162" i="2"/>
  <c r="X162" i="2"/>
  <c r="AE162" i="2"/>
  <c r="W162" i="2"/>
  <c r="AD162" i="2"/>
  <c r="V162" i="2"/>
  <c r="AB162" i="2"/>
  <c r="AA162" i="2"/>
  <c r="C165" i="2"/>
  <c r="C177" i="2" s="1"/>
  <c r="C183" i="2" s="1"/>
  <c r="N166" i="2"/>
  <c r="O167" i="2"/>
  <c r="M167" i="2"/>
  <c r="L167" i="2"/>
  <c r="G179" i="2"/>
  <c r="S167" i="2"/>
  <c r="D47" i="1" s="1"/>
  <c r="Q167" i="2"/>
  <c r="G181" i="2"/>
  <c r="Q169" i="2"/>
  <c r="O169" i="2"/>
  <c r="N169" i="2"/>
  <c r="M169" i="2"/>
  <c r="S169" i="2"/>
  <c r="D49" i="1" s="1"/>
  <c r="L192" i="2"/>
  <c r="G14" i="4"/>
  <c r="G8" i="4"/>
  <c r="G163" i="2"/>
  <c r="E177" i="2"/>
  <c r="F165" i="2"/>
  <c r="F177" i="2" s="1"/>
  <c r="AD166" i="2"/>
  <c r="V166" i="2"/>
  <c r="AB166" i="2"/>
  <c r="AA166" i="2"/>
  <c r="Z166" i="2"/>
  <c r="H178" i="2"/>
  <c r="AF166" i="2"/>
  <c r="X166" i="2"/>
  <c r="Y166" i="2"/>
  <c r="AE167" i="2"/>
  <c r="H182" i="2"/>
  <c r="Z170" i="2"/>
  <c r="AF170" i="2"/>
  <c r="X170" i="2"/>
  <c r="AE170" i="2"/>
  <c r="W170" i="2"/>
  <c r="AD170" i="2"/>
  <c r="V170" i="2"/>
  <c r="AB170" i="2"/>
  <c r="AA170" i="2"/>
  <c r="D165" i="2"/>
  <c r="D177" i="2" s="1"/>
  <c r="AC166" i="2"/>
  <c r="H180" i="2"/>
  <c r="AF168" i="2"/>
  <c r="X168" i="2"/>
  <c r="AD168" i="2"/>
  <c r="V168" i="2"/>
  <c r="AC168" i="2"/>
  <c r="U168" i="2"/>
  <c r="AB168" i="2"/>
  <c r="Z168" i="2"/>
  <c r="AA168" i="2"/>
  <c r="AC170" i="2"/>
  <c r="E175" i="2"/>
  <c r="F163" i="2"/>
  <c r="F175" i="2" s="1"/>
  <c r="F164" i="2"/>
  <c r="F176" i="2" s="1"/>
  <c r="AE166" i="2"/>
  <c r="AE168" i="2"/>
  <c r="F162" i="2"/>
  <c r="F174" i="2" s="1"/>
  <c r="U162" i="2"/>
  <c r="L164" i="2"/>
  <c r="N167" i="2"/>
  <c r="L169" i="2"/>
  <c r="F17" i="8"/>
  <c r="F19" i="8" s="1"/>
  <c r="G173" i="2"/>
  <c r="Q161" i="2"/>
  <c r="O161" i="2"/>
  <c r="N161" i="2"/>
  <c r="M161" i="2"/>
  <c r="S161" i="2"/>
  <c r="D41" i="1" s="1"/>
  <c r="Y162" i="2"/>
  <c r="I175" i="2"/>
  <c r="I183" i="2" s="1"/>
  <c r="I165" i="2"/>
  <c r="I177" i="2" s="1"/>
  <c r="AB164" i="2"/>
  <c r="P167" i="2"/>
  <c r="P169" i="2"/>
  <c r="E171" i="2"/>
  <c r="AA161" i="2"/>
  <c r="L162" i="2"/>
  <c r="U163" i="2"/>
  <c r="AC163" i="2"/>
  <c r="N164" i="2"/>
  <c r="V164" i="2"/>
  <c r="AD164" i="2"/>
  <c r="P166" i="2"/>
  <c r="Y167" i="2"/>
  <c r="R168" i="2"/>
  <c r="AA169" i="2"/>
  <c r="L170" i="2"/>
  <c r="E181" i="2"/>
  <c r="O68" i="7"/>
  <c r="I2" i="8"/>
  <c r="U161" i="2"/>
  <c r="AC161" i="2"/>
  <c r="N162" i="2"/>
  <c r="W163" i="2"/>
  <c r="AE163" i="2"/>
  <c r="P164" i="2"/>
  <c r="X164" i="2"/>
  <c r="AF164" i="2"/>
  <c r="H165" i="2"/>
  <c r="R166" i="2"/>
  <c r="AA167" i="2"/>
  <c r="L168" i="2"/>
  <c r="U169" i="2"/>
  <c r="AC169" i="2"/>
  <c r="N170" i="2"/>
  <c r="H176" i="2"/>
  <c r="E8" i="4"/>
  <c r="F8" i="4" s="1"/>
  <c r="E14" i="4"/>
  <c r="F14" i="4" s="1"/>
  <c r="F30" i="4"/>
  <c r="H13" i="8"/>
  <c r="G17" i="8"/>
  <c r="G19" i="8" s="1"/>
  <c r="V161" i="2"/>
  <c r="AD161" i="2"/>
  <c r="O162" i="2"/>
  <c r="X163" i="2"/>
  <c r="AF163" i="2"/>
  <c r="Q164" i="2"/>
  <c r="Y164" i="2"/>
  <c r="S166" i="2"/>
  <c r="D46" i="1" s="1"/>
  <c r="AB167" i="2"/>
  <c r="M168" i="2"/>
  <c r="V169" i="2"/>
  <c r="AD169" i="2"/>
  <c r="O170" i="2"/>
  <c r="D175" i="2"/>
  <c r="D183" i="2" s="1"/>
  <c r="H179" i="2"/>
  <c r="F6" i="4"/>
  <c r="W161" i="2"/>
  <c r="AE161" i="2"/>
  <c r="P162" i="2"/>
  <c r="Y163" i="2"/>
  <c r="R164" i="2"/>
  <c r="Z164" i="2"/>
  <c r="J165" i="2"/>
  <c r="J177" i="2" s="1"/>
  <c r="L166" i="2"/>
  <c r="U167" i="2"/>
  <c r="AC167" i="2"/>
  <c r="N168" i="2"/>
  <c r="W169" i="2"/>
  <c r="AE169" i="2"/>
  <c r="P170" i="2"/>
  <c r="H171" i="2"/>
  <c r="Y161" i="2"/>
  <c r="R162" i="2"/>
  <c r="J183" i="2"/>
  <c r="AA163" i="2"/>
  <c r="W167" i="2"/>
  <c r="P168" i="2"/>
  <c r="Y169" i="2"/>
  <c r="R170" i="2"/>
  <c r="J171" i="2"/>
  <c r="K8" i="4"/>
  <c r="K14" i="4" s="1"/>
  <c r="H2" i="8"/>
  <c r="N2" i="8"/>
  <c r="M2" i="8"/>
  <c r="G5" i="8"/>
  <c r="G9" i="8" s="1"/>
  <c r="G11" i="8" s="1"/>
  <c r="L2" i="8"/>
  <c r="K2" i="8"/>
  <c r="D14" i="4"/>
  <c r="I43" i="2" l="1"/>
  <c r="AA192" i="2"/>
  <c r="AH7" i="2"/>
  <c r="I7" i="2"/>
  <c r="E112" i="2"/>
  <c r="O145" i="2"/>
  <c r="K14" i="8" s="1"/>
  <c r="AG43" i="2"/>
  <c r="AH43" i="2" s="1"/>
  <c r="AI43" i="2" s="1"/>
  <c r="V191" i="2"/>
  <c r="I40" i="2"/>
  <c r="T13" i="2"/>
  <c r="Q192" i="2"/>
  <c r="AD191" i="2"/>
  <c r="I59" i="2"/>
  <c r="I21" i="2"/>
  <c r="I32" i="2"/>
  <c r="V153" i="2"/>
  <c r="E124" i="2"/>
  <c r="T10" i="2"/>
  <c r="AH60" i="2"/>
  <c r="AI60" i="2" s="1"/>
  <c r="I60" i="2"/>
  <c r="T39" i="2"/>
  <c r="N152" i="2"/>
  <c r="H8" i="8"/>
  <c r="T12" i="2"/>
  <c r="R147" i="2"/>
  <c r="N16" i="8" s="1"/>
  <c r="E115" i="2"/>
  <c r="W143" i="2"/>
  <c r="W152" i="2"/>
  <c r="AH48" i="2"/>
  <c r="AI48" i="2" s="1"/>
  <c r="I48" i="2"/>
  <c r="AE191" i="2"/>
  <c r="AE192" i="2" s="1"/>
  <c r="I34" i="2"/>
  <c r="I15" i="2"/>
  <c r="T120" i="2"/>
  <c r="AH120" i="2" s="1"/>
  <c r="AI120" i="2" s="1"/>
  <c r="AH52" i="2"/>
  <c r="AI52" i="2" s="1"/>
  <c r="I52" i="2"/>
  <c r="P145" i="2"/>
  <c r="L14" i="8" s="1"/>
  <c r="X153" i="2"/>
  <c r="Y146" i="2"/>
  <c r="U156" i="2"/>
  <c r="I18" i="2"/>
  <c r="AH18" i="2"/>
  <c r="U189" i="2"/>
  <c r="AF153" i="2"/>
  <c r="AG20" i="2"/>
  <c r="AH20" i="2" s="1"/>
  <c r="AI20" i="2" s="1"/>
  <c r="I31" i="2"/>
  <c r="AG167" i="2"/>
  <c r="T167" i="2"/>
  <c r="AH167" i="2"/>
  <c r="W156" i="2"/>
  <c r="AH51" i="2"/>
  <c r="AI51" i="2" s="1"/>
  <c r="I51" i="2"/>
  <c r="T17" i="2"/>
  <c r="L154" i="2"/>
  <c r="M189" i="2"/>
  <c r="L145" i="2"/>
  <c r="I26" i="2"/>
  <c r="Z153" i="2"/>
  <c r="I20" i="2"/>
  <c r="AC153" i="2"/>
  <c r="T166" i="2"/>
  <c r="AH24" i="2"/>
  <c r="I24" i="2"/>
  <c r="AE156" i="2"/>
  <c r="AH30" i="2"/>
  <c r="I30" i="2"/>
  <c r="AE153" i="2"/>
  <c r="R153" i="2"/>
  <c r="AB66" i="2"/>
  <c r="AB142" i="2"/>
  <c r="T128" i="2"/>
  <c r="E118" i="2"/>
  <c r="T112" i="2"/>
  <c r="T104" i="2"/>
  <c r="AG96" i="2"/>
  <c r="AH96" i="2" s="1"/>
  <c r="AG101" i="2"/>
  <c r="AG93" i="2"/>
  <c r="AH114" i="2"/>
  <c r="AH116" i="2"/>
  <c r="T44" i="2"/>
  <c r="T36" i="2"/>
  <c r="T92" i="2"/>
  <c r="AG62" i="2"/>
  <c r="AG121" i="2"/>
  <c r="Y100" i="2"/>
  <c r="Q100" i="2"/>
  <c r="AE100" i="2"/>
  <c r="W100" i="2"/>
  <c r="O100" i="2"/>
  <c r="AC100" i="2"/>
  <c r="U100" i="2"/>
  <c r="AG100" i="2" s="1"/>
  <c r="M100" i="2"/>
  <c r="AB100" i="2"/>
  <c r="L100" i="2"/>
  <c r="AA100" i="2"/>
  <c r="S100" i="2"/>
  <c r="X100" i="2"/>
  <c r="V100" i="2"/>
  <c r="R100" i="2"/>
  <c r="P100" i="2"/>
  <c r="N100" i="2"/>
  <c r="AF100" i="2"/>
  <c r="Z100" i="2"/>
  <c r="AD100" i="2"/>
  <c r="AG126" i="2"/>
  <c r="T46" i="2"/>
  <c r="T23" i="2"/>
  <c r="AE66" i="2"/>
  <c r="AG26" i="2"/>
  <c r="AH26" i="2" s="1"/>
  <c r="AI26" i="2" s="1"/>
  <c r="AG21" i="2"/>
  <c r="AH21" i="2" s="1"/>
  <c r="AI21" i="2" s="1"/>
  <c r="T14" i="2"/>
  <c r="AF141" i="2"/>
  <c r="N155" i="2"/>
  <c r="J7" i="8" s="1"/>
  <c r="AB145" i="2"/>
  <c r="O141" i="2"/>
  <c r="X152" i="2"/>
  <c r="AA156" i="2"/>
  <c r="R152" i="2"/>
  <c r="L143" i="2"/>
  <c r="M143" i="2"/>
  <c r="AE145" i="2"/>
  <c r="V154" i="2"/>
  <c r="X145" i="2"/>
  <c r="O154" i="2"/>
  <c r="K6" i="8" s="1"/>
  <c r="K9" i="8" s="1"/>
  <c r="K11" i="8" s="1"/>
  <c r="AC141" i="2"/>
  <c r="T150" i="2"/>
  <c r="O153" i="2"/>
  <c r="N141" i="2"/>
  <c r="AF143" i="2"/>
  <c r="Y156" i="2"/>
  <c r="M156" i="2"/>
  <c r="I8" i="8" s="1"/>
  <c r="I9" i="8" s="1"/>
  <c r="I11" i="8" s="1"/>
  <c r="N156" i="2"/>
  <c r="J8" i="8" s="1"/>
  <c r="R191" i="2"/>
  <c r="R192" i="2" s="1"/>
  <c r="N191" i="2"/>
  <c r="T191" i="2" s="1"/>
  <c r="AH191" i="2" s="1"/>
  <c r="W190" i="2"/>
  <c r="W192" i="2" s="1"/>
  <c r="P190" i="2"/>
  <c r="C25" i="1"/>
  <c r="AG55" i="2"/>
  <c r="AG34" i="2"/>
  <c r="AH34" i="2" s="1"/>
  <c r="AI34" i="2" s="1"/>
  <c r="AG23" i="2"/>
  <c r="AG50" i="2"/>
  <c r="T76" i="2"/>
  <c r="Z66" i="2"/>
  <c r="E75" i="2"/>
  <c r="E107" i="2"/>
  <c r="E96" i="2"/>
  <c r="AG79" i="2"/>
  <c r="AG84" i="2"/>
  <c r="O183" i="2"/>
  <c r="AC183" i="2"/>
  <c r="AG182" i="2"/>
  <c r="U170" i="2"/>
  <c r="AG170" i="2" s="1"/>
  <c r="S164" i="2"/>
  <c r="D44" i="1" s="1"/>
  <c r="C44" i="1"/>
  <c r="E44" i="1" s="1"/>
  <c r="Q183" i="2"/>
  <c r="Q71" i="2"/>
  <c r="R71" i="2"/>
  <c r="AF106" i="2"/>
  <c r="AF147" i="2" s="1"/>
  <c r="X106" i="2"/>
  <c r="X147" i="2" s="1"/>
  <c r="P106" i="2"/>
  <c r="AE106" i="2"/>
  <c r="W106" i="2"/>
  <c r="W147" i="2" s="1"/>
  <c r="O106" i="2"/>
  <c r="O147" i="2" s="1"/>
  <c r="K16" i="8" s="1"/>
  <c r="AD106" i="2"/>
  <c r="V106" i="2"/>
  <c r="V147" i="2" s="1"/>
  <c r="N106" i="2"/>
  <c r="N147" i="2" s="1"/>
  <c r="J16" i="8" s="1"/>
  <c r="Z106" i="2"/>
  <c r="L106" i="2"/>
  <c r="U106" i="2"/>
  <c r="U147" i="2" s="1"/>
  <c r="S106" i="2"/>
  <c r="S147" i="2" s="1"/>
  <c r="O16" i="8" s="1"/>
  <c r="AC106" i="2"/>
  <c r="AC131" i="2" s="1"/>
  <c r="R106" i="2"/>
  <c r="AB106" i="2"/>
  <c r="AB147" i="2" s="1"/>
  <c r="Q106" i="2"/>
  <c r="Q147" i="2" s="1"/>
  <c r="M16" i="8" s="1"/>
  <c r="AA106" i="2"/>
  <c r="AA147" i="2" s="1"/>
  <c r="Y106" i="2"/>
  <c r="M106" i="2"/>
  <c r="M147" i="2" s="1"/>
  <c r="I16" i="8" s="1"/>
  <c r="R66" i="2"/>
  <c r="AH72" i="2"/>
  <c r="T47" i="2"/>
  <c r="T27" i="2"/>
  <c r="AG77" i="2"/>
  <c r="Y66" i="2"/>
  <c r="AC88" i="2"/>
  <c r="AC146" i="2" s="1"/>
  <c r="U88" i="2"/>
  <c r="M88" i="2"/>
  <c r="AA88" i="2"/>
  <c r="S88" i="2"/>
  <c r="Y88" i="2"/>
  <c r="O88" i="2"/>
  <c r="O146" i="2" s="1"/>
  <c r="K15" i="8" s="1"/>
  <c r="X88" i="2"/>
  <c r="N88" i="2"/>
  <c r="W88" i="2"/>
  <c r="W146" i="2" s="1"/>
  <c r="L88" i="2"/>
  <c r="AF88" i="2"/>
  <c r="V88" i="2"/>
  <c r="V146" i="2" s="1"/>
  <c r="AE88" i="2"/>
  <c r="AD88" i="2"/>
  <c r="AD146" i="2" s="1"/>
  <c r="R88" i="2"/>
  <c r="Z88" i="2"/>
  <c r="P88" i="2"/>
  <c r="P146" i="2" s="1"/>
  <c r="L15" i="8" s="1"/>
  <c r="AB88" i="2"/>
  <c r="Q88" i="2"/>
  <c r="AE94" i="2"/>
  <c r="W94" i="2"/>
  <c r="O94" i="2"/>
  <c r="AC94" i="2"/>
  <c r="U94" i="2"/>
  <c r="AG94" i="2" s="1"/>
  <c r="M94" i="2"/>
  <c r="AA94" i="2"/>
  <c r="S94" i="2"/>
  <c r="Z94" i="2"/>
  <c r="R94" i="2"/>
  <c r="Y94" i="2"/>
  <c r="Q94" i="2"/>
  <c r="AD94" i="2"/>
  <c r="AB94" i="2"/>
  <c r="X94" i="2"/>
  <c r="V94" i="2"/>
  <c r="P94" i="2"/>
  <c r="AF94" i="2"/>
  <c r="L94" i="2"/>
  <c r="T94" i="2" s="1"/>
  <c r="N94" i="2"/>
  <c r="AD66" i="2"/>
  <c r="S183" i="2"/>
  <c r="C41" i="1"/>
  <c r="E41" i="1" s="1"/>
  <c r="AB183" i="2"/>
  <c r="AB161" i="2"/>
  <c r="AH174" i="2"/>
  <c r="T174" i="2"/>
  <c r="V177" i="2"/>
  <c r="V163" i="2"/>
  <c r="AG163" i="2" s="1"/>
  <c r="P183" i="2"/>
  <c r="P161" i="2"/>
  <c r="U71" i="2"/>
  <c r="Z71" i="2"/>
  <c r="AC184" i="2"/>
  <c r="U184" i="2"/>
  <c r="AB184" i="2"/>
  <c r="AA184" i="2"/>
  <c r="Z184" i="2"/>
  <c r="AF184" i="2"/>
  <c r="AE184" i="2"/>
  <c r="AC171" i="2"/>
  <c r="Y184" i="2"/>
  <c r="Y185" i="2" s="1"/>
  <c r="X184" i="2"/>
  <c r="W184" i="2"/>
  <c r="Y171" i="2"/>
  <c r="AD171" i="2"/>
  <c r="AB171" i="2"/>
  <c r="AD184" i="2"/>
  <c r="V184" i="2"/>
  <c r="C171" i="2"/>
  <c r="AG164" i="2"/>
  <c r="E126" i="2"/>
  <c r="AG112" i="2"/>
  <c r="AG45" i="2"/>
  <c r="AG117" i="2"/>
  <c r="AH117" i="2" s="1"/>
  <c r="AI117" i="2" s="1"/>
  <c r="AG109" i="2"/>
  <c r="T101" i="2"/>
  <c r="AH101" i="2" s="1"/>
  <c r="AI101" i="2" s="1"/>
  <c r="AG127" i="2"/>
  <c r="AG124" i="2"/>
  <c r="AH124" i="2" s="1"/>
  <c r="AG57" i="2"/>
  <c r="AG49" i="2"/>
  <c r="AG108" i="2"/>
  <c r="E90" i="2"/>
  <c r="AG129" i="2"/>
  <c r="AH129" i="2" s="1"/>
  <c r="AI129" i="2" s="1"/>
  <c r="E127" i="2"/>
  <c r="T121" i="2"/>
  <c r="AH121" i="2" s="1"/>
  <c r="AI121" i="2" s="1"/>
  <c r="AG113" i="2"/>
  <c r="AG46" i="2"/>
  <c r="T97" i="2"/>
  <c r="T54" i="2"/>
  <c r="AI105" i="2"/>
  <c r="AG22" i="2"/>
  <c r="AG81" i="2"/>
  <c r="AG39" i="2"/>
  <c r="AD95" i="2"/>
  <c r="V95" i="2"/>
  <c r="N95" i="2"/>
  <c r="AB95" i="2"/>
  <c r="L95" i="2"/>
  <c r="Z95" i="2"/>
  <c r="R95" i="2"/>
  <c r="Y95" i="2"/>
  <c r="Q95" i="2"/>
  <c r="AF95" i="2"/>
  <c r="X95" i="2"/>
  <c r="P95" i="2"/>
  <c r="S95" i="2"/>
  <c r="O95" i="2"/>
  <c r="M95" i="2"/>
  <c r="AE95" i="2"/>
  <c r="AC95" i="2"/>
  <c r="AA95" i="2"/>
  <c r="U95" i="2"/>
  <c r="W95" i="2"/>
  <c r="Z91" i="2"/>
  <c r="R91" i="2"/>
  <c r="AF91" i="2"/>
  <c r="X91" i="2"/>
  <c r="P91" i="2"/>
  <c r="AD91" i="2"/>
  <c r="V91" i="2"/>
  <c r="N91" i="2"/>
  <c r="AC91" i="2"/>
  <c r="U91" i="2"/>
  <c r="M91" i="2"/>
  <c r="AB91" i="2"/>
  <c r="L91" i="2"/>
  <c r="W91" i="2"/>
  <c r="S91" i="2"/>
  <c r="Q91" i="2"/>
  <c r="O91" i="2"/>
  <c r="AE91" i="2"/>
  <c r="Y91" i="2"/>
  <c r="AA91" i="2"/>
  <c r="AG13" i="2"/>
  <c r="L66" i="2"/>
  <c r="T6" i="2"/>
  <c r="AE141" i="2"/>
  <c r="S145" i="2"/>
  <c r="O14" i="8" s="1"/>
  <c r="Q141" i="2"/>
  <c r="M145" i="2"/>
  <c r="I14" i="8" s="1"/>
  <c r="S153" i="2"/>
  <c r="AE146" i="2"/>
  <c r="S152" i="2"/>
  <c r="T152" i="2" s="1"/>
  <c r="AH152" i="2" s="1"/>
  <c r="O156" i="2"/>
  <c r="K8" i="8" s="1"/>
  <c r="AC143" i="2"/>
  <c r="X146" i="2"/>
  <c r="R155" i="2"/>
  <c r="N7" i="8" s="1"/>
  <c r="V143" i="2"/>
  <c r="AG143" i="2" s="1"/>
  <c r="Q146" i="2"/>
  <c r="M15" i="8" s="1"/>
  <c r="AE154" i="2"/>
  <c r="AG154" i="2" s="1"/>
  <c r="Q145" i="2"/>
  <c r="M14" i="8" s="1"/>
  <c r="AD141" i="2"/>
  <c r="AG150" i="2"/>
  <c r="P153" i="2"/>
  <c r="Y155" i="2"/>
  <c r="AC156" i="2"/>
  <c r="AD156" i="2"/>
  <c r="P156" i="2"/>
  <c r="L8" i="8" s="1"/>
  <c r="Z190" i="2"/>
  <c r="W191" i="2"/>
  <c r="AG41" i="2"/>
  <c r="AG63" i="2"/>
  <c r="AG25" i="2"/>
  <c r="T11" i="2"/>
  <c r="AA66" i="2"/>
  <c r="E91" i="2"/>
  <c r="T8" i="2"/>
  <c r="E116" i="2"/>
  <c r="AI116" i="2" s="1"/>
  <c r="AG38" i="2"/>
  <c r="T33" i="2"/>
  <c r="T85" i="2"/>
  <c r="Q66" i="2"/>
  <c r="V66" i="2"/>
  <c r="AH182" i="2"/>
  <c r="T182" i="2"/>
  <c r="Z183" i="2"/>
  <c r="Z185" i="2" s="1"/>
  <c r="Z161" i="2"/>
  <c r="S168" i="2"/>
  <c r="D48" i="1" s="1"/>
  <c r="C48" i="1"/>
  <c r="E48" i="1" s="1"/>
  <c r="AG176" i="2"/>
  <c r="N183" i="2"/>
  <c r="W183" i="2"/>
  <c r="W185" i="2" s="1"/>
  <c r="X183" i="2"/>
  <c r="X185" i="2" s="1"/>
  <c r="X161" i="2"/>
  <c r="V71" i="2"/>
  <c r="V142" i="2" s="1"/>
  <c r="S71" i="2"/>
  <c r="E81" i="2"/>
  <c r="AG169" i="2"/>
  <c r="AH169" i="2"/>
  <c r="T169" i="2"/>
  <c r="AG168" i="2"/>
  <c r="G175" i="2"/>
  <c r="S163" i="2"/>
  <c r="D43" i="1" s="1"/>
  <c r="Q163" i="2"/>
  <c r="P163" i="2"/>
  <c r="O163" i="2"/>
  <c r="M163" i="2"/>
  <c r="G165" i="2"/>
  <c r="R163" i="2"/>
  <c r="N163" i="2"/>
  <c r="L163" i="2"/>
  <c r="B43" i="1"/>
  <c r="AG128" i="2"/>
  <c r="AH56" i="2"/>
  <c r="AI56" i="2" s="1"/>
  <c r="I56" i="2"/>
  <c r="T61" i="2"/>
  <c r="T125" i="2"/>
  <c r="AH125" i="2" s="1"/>
  <c r="AI125" i="2" s="1"/>
  <c r="T37" i="2"/>
  <c r="AG97" i="2"/>
  <c r="AG130" i="2"/>
  <c r="T130" i="2"/>
  <c r="AH130" i="2" s="1"/>
  <c r="AG119" i="2"/>
  <c r="AH119" i="2" s="1"/>
  <c r="AG111" i="2"/>
  <c r="T28" i="2"/>
  <c r="AG92" i="2"/>
  <c r="T57" i="2"/>
  <c r="AG51" i="2"/>
  <c r="AH9" i="2"/>
  <c r="I9" i="2"/>
  <c r="E84" i="2"/>
  <c r="T78" i="2"/>
  <c r="AH78" i="2" s="1"/>
  <c r="AI78" i="2" s="1"/>
  <c r="AG11" i="2"/>
  <c r="S154" i="2"/>
  <c r="O6" i="8" s="1"/>
  <c r="X141" i="2"/>
  <c r="AA145" i="2"/>
  <c r="Y141" i="2"/>
  <c r="U145" i="2"/>
  <c r="AG145" i="2" s="1"/>
  <c r="AA152" i="2"/>
  <c r="AF146" i="2"/>
  <c r="Q156" i="2"/>
  <c r="M8" i="8" s="1"/>
  <c r="AD143" i="2"/>
  <c r="AG152" i="2"/>
  <c r="V155" i="2"/>
  <c r="Y145" i="2"/>
  <c r="P154" i="2"/>
  <c r="L6" i="8" s="1"/>
  <c r="L9" i="8" s="1"/>
  <c r="L11" i="8" s="1"/>
  <c r="R145" i="2"/>
  <c r="N14" i="8" s="1"/>
  <c r="R156" i="2"/>
  <c r="N8" i="8" s="1"/>
  <c r="X189" i="2"/>
  <c r="X192" i="2" s="1"/>
  <c r="Y189" i="2"/>
  <c r="Y192" i="2" s="1"/>
  <c r="Z189" i="2"/>
  <c r="Z192" i="2" s="1"/>
  <c r="X156" i="2"/>
  <c r="S191" i="2"/>
  <c r="S192" i="2" s="1"/>
  <c r="X191" i="2"/>
  <c r="S66" i="2"/>
  <c r="T35" i="2"/>
  <c r="T80" i="2"/>
  <c r="AH80" i="2" s="1"/>
  <c r="Z103" i="2"/>
  <c r="R103" i="2"/>
  <c r="Y103" i="2"/>
  <c r="Q103" i="2"/>
  <c r="AE103" i="2"/>
  <c r="U103" i="2"/>
  <c r="AG103" i="2" s="1"/>
  <c r="AC103" i="2"/>
  <c r="S103" i="2"/>
  <c r="AA103" i="2"/>
  <c r="O103" i="2"/>
  <c r="X103" i="2"/>
  <c r="N103" i="2"/>
  <c r="W103" i="2"/>
  <c r="M103" i="2"/>
  <c r="P103" i="2"/>
  <c r="L103" i="2"/>
  <c r="T103" i="2" s="1"/>
  <c r="AH103" i="2" s="1"/>
  <c r="AF103" i="2"/>
  <c r="AD103" i="2"/>
  <c r="AB103" i="2"/>
  <c r="V103" i="2"/>
  <c r="E72" i="2"/>
  <c r="AI7" i="2"/>
  <c r="AG35" i="2"/>
  <c r="N66" i="2"/>
  <c r="M183" i="2"/>
  <c r="AA183" i="2"/>
  <c r="AA185" i="2" s="1"/>
  <c r="AE177" i="2"/>
  <c r="AE183" i="2"/>
  <c r="AE185" i="2" s="1"/>
  <c r="T178" i="2"/>
  <c r="AH178" i="2"/>
  <c r="AF183" i="2"/>
  <c r="AF161" i="2"/>
  <c r="AG161" i="2" s="1"/>
  <c r="AG178" i="2"/>
  <c r="U166" i="2"/>
  <c r="AG166" i="2" s="1"/>
  <c r="W71" i="2"/>
  <c r="AA71" i="2"/>
  <c r="N9" i="8"/>
  <c r="N11" i="8" s="1"/>
  <c r="I13" i="8"/>
  <c r="T168" i="2"/>
  <c r="D171" i="2"/>
  <c r="F171" i="2" s="1"/>
  <c r="AG104" i="2"/>
  <c r="E122" i="2"/>
  <c r="E114" i="2"/>
  <c r="AI114" i="2" s="1"/>
  <c r="E98" i="2"/>
  <c r="AG54" i="2"/>
  <c r="E111" i="2"/>
  <c r="AG89" i="2"/>
  <c r="T62" i="2"/>
  <c r="T126" i="2"/>
  <c r="AH126" i="2" s="1"/>
  <c r="T102" i="2"/>
  <c r="AH102" i="2" s="1"/>
  <c r="AI102" i="2" s="1"/>
  <c r="AG14" i="2"/>
  <c r="AC66" i="2"/>
  <c r="AG86" i="2"/>
  <c r="AH86" i="2" s="1"/>
  <c r="AI86" i="2" s="1"/>
  <c r="Q142" i="2"/>
  <c r="Y152" i="2"/>
  <c r="L146" i="2"/>
  <c r="R142" i="2"/>
  <c r="AC145" i="2"/>
  <c r="L153" i="2"/>
  <c r="S141" i="2"/>
  <c r="L141" i="2"/>
  <c r="S156" i="2"/>
  <c r="O8" i="8" s="1"/>
  <c r="O143" i="2"/>
  <c r="R146" i="2"/>
  <c r="N15" i="8" s="1"/>
  <c r="AC151" i="2"/>
  <c r="W142" i="2"/>
  <c r="Z145" i="2"/>
  <c r="Z156" i="2"/>
  <c r="AF156" i="2"/>
  <c r="AB189" i="2"/>
  <c r="AB192" i="2" s="1"/>
  <c r="AF191" i="2"/>
  <c r="AF192" i="2" s="1"/>
  <c r="AB87" i="2"/>
  <c r="L87" i="2"/>
  <c r="AA87" i="2"/>
  <c r="AA144" i="2" s="1"/>
  <c r="S87" i="2"/>
  <c r="S144" i="2" s="1"/>
  <c r="Z87" i="2"/>
  <c r="Z144" i="2" s="1"/>
  <c r="R87" i="2"/>
  <c r="R144" i="2" s="1"/>
  <c r="Y87" i="2"/>
  <c r="Y144" i="2" s="1"/>
  <c r="Q87" i="2"/>
  <c r="Q144" i="2" s="1"/>
  <c r="AF87" i="2"/>
  <c r="AF144" i="2" s="1"/>
  <c r="X87" i="2"/>
  <c r="X144" i="2" s="1"/>
  <c r="P87" i="2"/>
  <c r="AE87" i="2"/>
  <c r="AE144" i="2" s="1"/>
  <c r="W87" i="2"/>
  <c r="O87" i="2"/>
  <c r="O144" i="2" s="1"/>
  <c r="AC87" i="2"/>
  <c r="AC144" i="2" s="1"/>
  <c r="U87" i="2"/>
  <c r="U144" i="2" s="1"/>
  <c r="M87" i="2"/>
  <c r="M144" i="2" s="1"/>
  <c r="AD87" i="2"/>
  <c r="V87" i="2"/>
  <c r="V144" i="2" s="1"/>
  <c r="N87" i="2"/>
  <c r="N144" i="2" s="1"/>
  <c r="E92" i="2"/>
  <c r="AG75" i="2"/>
  <c r="AG8" i="2"/>
  <c r="T58" i="2"/>
  <c r="Z123" i="2"/>
  <c r="R123" i="2"/>
  <c r="Y123" i="2"/>
  <c r="Q123" i="2"/>
  <c r="AD123" i="2"/>
  <c r="V123" i="2"/>
  <c r="N123" i="2"/>
  <c r="AB123" i="2"/>
  <c r="L123" i="2"/>
  <c r="AF123" i="2"/>
  <c r="P123" i="2"/>
  <c r="AE123" i="2"/>
  <c r="O123" i="2"/>
  <c r="AC123" i="2"/>
  <c r="M123" i="2"/>
  <c r="AA123" i="2"/>
  <c r="X123" i="2"/>
  <c r="W123" i="2"/>
  <c r="S123" i="2"/>
  <c r="U123" i="2"/>
  <c r="AG47" i="2"/>
  <c r="AG72" i="2"/>
  <c r="E108" i="2"/>
  <c r="AE107" i="2"/>
  <c r="AE147" i="2" s="1"/>
  <c r="W107" i="2"/>
  <c r="O107" i="2"/>
  <c r="AD107" i="2"/>
  <c r="AD147" i="2" s="1"/>
  <c r="V107" i="2"/>
  <c r="N107" i="2"/>
  <c r="AC107" i="2"/>
  <c r="U107" i="2"/>
  <c r="M107" i="2"/>
  <c r="AF107" i="2"/>
  <c r="R107" i="2"/>
  <c r="AA107" i="2"/>
  <c r="P107" i="2"/>
  <c r="P147" i="2" s="1"/>
  <c r="L16" i="8" s="1"/>
  <c r="Y107" i="2"/>
  <c r="X107" i="2"/>
  <c r="AB107" i="2"/>
  <c r="Z107" i="2"/>
  <c r="S107" i="2"/>
  <c r="L107" i="2"/>
  <c r="Q107" i="2"/>
  <c r="AA98" i="2"/>
  <c r="S98" i="2"/>
  <c r="Y98" i="2"/>
  <c r="Q98" i="2"/>
  <c r="AE98" i="2"/>
  <c r="W98" i="2"/>
  <c r="O98" i="2"/>
  <c r="AD98" i="2"/>
  <c r="V98" i="2"/>
  <c r="N98" i="2"/>
  <c r="AC98" i="2"/>
  <c r="U98" i="2"/>
  <c r="M98" i="2"/>
  <c r="Z98" i="2"/>
  <c r="X98" i="2"/>
  <c r="R98" i="2"/>
  <c r="P98" i="2"/>
  <c r="L98" i="2"/>
  <c r="AB98" i="2"/>
  <c r="AF98" i="2"/>
  <c r="E83" i="2"/>
  <c r="AI18" i="2"/>
  <c r="AG82" i="2"/>
  <c r="AH82" i="2" s="1"/>
  <c r="AI82" i="2" s="1"/>
  <c r="AG15" i="2"/>
  <c r="AH15" i="2" s="1"/>
  <c r="AI15" i="2" s="1"/>
  <c r="T74" i="2"/>
  <c r="AG74" i="2"/>
  <c r="AF66" i="2"/>
  <c r="T29" i="2"/>
  <c r="AG180" i="2"/>
  <c r="L183" i="2"/>
  <c r="AH173" i="2"/>
  <c r="T173" i="2"/>
  <c r="L161" i="2"/>
  <c r="AG174" i="2"/>
  <c r="AH181" i="2"/>
  <c r="T181" i="2"/>
  <c r="AD177" i="2"/>
  <c r="AD163" i="2"/>
  <c r="S177" i="2"/>
  <c r="C45" i="1" s="1"/>
  <c r="C43" i="1"/>
  <c r="E43" i="1" s="1"/>
  <c r="N71" i="2"/>
  <c r="Y71" i="2"/>
  <c r="L71" i="2"/>
  <c r="T164" i="2"/>
  <c r="AH164" i="2"/>
  <c r="E183" i="2"/>
  <c r="F183" i="2" s="1"/>
  <c r="AH64" i="2"/>
  <c r="AI64" i="2" s="1"/>
  <c r="I64" i="2"/>
  <c r="AG60" i="2"/>
  <c r="E123" i="2"/>
  <c r="T45" i="2"/>
  <c r="T93" i="2"/>
  <c r="AH93" i="2" s="1"/>
  <c r="AI93" i="2" s="1"/>
  <c r="AG122" i="2"/>
  <c r="T127" i="2"/>
  <c r="AH127" i="2" s="1"/>
  <c r="AG65" i="2"/>
  <c r="T105" i="2"/>
  <c r="AH105" i="2" s="1"/>
  <c r="E103" i="2"/>
  <c r="AG59" i="2"/>
  <c r="AH59" i="2" s="1"/>
  <c r="AI59" i="2" s="1"/>
  <c r="T118" i="2"/>
  <c r="AH118" i="2" s="1"/>
  <c r="T110" i="2"/>
  <c r="U66" i="2"/>
  <c r="AG6" i="2"/>
  <c r="E76" i="2"/>
  <c r="Z141" i="2"/>
  <c r="M146" i="2"/>
  <c r="I15" i="8" s="1"/>
  <c r="AF142" i="2"/>
  <c r="AB146" i="2"/>
  <c r="Z154" i="2"/>
  <c r="Z142" i="2"/>
  <c r="N146" i="2"/>
  <c r="J15" i="8" s="1"/>
  <c r="AB154" i="2"/>
  <c r="N145" i="2"/>
  <c r="J14" i="8" s="1"/>
  <c r="AA141" i="2"/>
  <c r="AG141" i="2" s="1"/>
  <c r="U153" i="2"/>
  <c r="AG153" i="2" s="1"/>
  <c r="AB141" i="2"/>
  <c r="Z147" i="2"/>
  <c r="U191" i="2"/>
  <c r="AG191" i="2" s="1"/>
  <c r="Z146" i="2"/>
  <c r="S146" i="2"/>
  <c r="O15" i="8" s="1"/>
  <c r="Q154" i="2"/>
  <c r="M6" i="8" s="1"/>
  <c r="M9" i="8" s="1"/>
  <c r="M11" i="8" s="1"/>
  <c r="AB191" i="2"/>
  <c r="P189" i="2"/>
  <c r="P192" i="2" s="1"/>
  <c r="M190" i="2"/>
  <c r="T190" i="2" s="1"/>
  <c r="O189" i="2"/>
  <c r="O192" i="2" s="1"/>
  <c r="T55" i="2"/>
  <c r="E100" i="2"/>
  <c r="Z99" i="2"/>
  <c r="R99" i="2"/>
  <c r="AF99" i="2"/>
  <c r="X99" i="2"/>
  <c r="P99" i="2"/>
  <c r="AD99" i="2"/>
  <c r="V99" i="2"/>
  <c r="N99" i="2"/>
  <c r="AC99" i="2"/>
  <c r="U99" i="2"/>
  <c r="M99" i="2"/>
  <c r="AB99" i="2"/>
  <c r="L99" i="2"/>
  <c r="T99" i="2" s="1"/>
  <c r="O99" i="2"/>
  <c r="AE99" i="2"/>
  <c r="AA99" i="2"/>
  <c r="Y99" i="2"/>
  <c r="W99" i="2"/>
  <c r="Q99" i="2"/>
  <c r="S99" i="2"/>
  <c r="T19" i="2"/>
  <c r="T50" i="2"/>
  <c r="Y115" i="2"/>
  <c r="Y147" i="2" s="1"/>
  <c r="Q115" i="2"/>
  <c r="AF115" i="2"/>
  <c r="W115" i="2"/>
  <c r="N115" i="2"/>
  <c r="AE115" i="2"/>
  <c r="V115" i="2"/>
  <c r="M115" i="2"/>
  <c r="AD115" i="2"/>
  <c r="U115" i="2"/>
  <c r="L115" i="2"/>
  <c r="AC115" i="2"/>
  <c r="AB115" i="2"/>
  <c r="S115" i="2"/>
  <c r="AA115" i="2"/>
  <c r="R115" i="2"/>
  <c r="X115" i="2"/>
  <c r="O115" i="2"/>
  <c r="Z115" i="2"/>
  <c r="P115" i="2"/>
  <c r="E95" i="2"/>
  <c r="AI30" i="2"/>
  <c r="T16" i="2"/>
  <c r="E99" i="2"/>
  <c r="AG33" i="2"/>
  <c r="AG85" i="2"/>
  <c r="X66" i="2"/>
  <c r="T84" i="2"/>
  <c r="AH84" i="2" s="1"/>
  <c r="AG76" i="2"/>
  <c r="U177" i="2"/>
  <c r="AG175" i="2"/>
  <c r="AG173" i="2"/>
  <c r="U183" i="2"/>
  <c r="U171" i="2" s="1"/>
  <c r="T180" i="2"/>
  <c r="AH180" i="2"/>
  <c r="V183" i="2"/>
  <c r="V185" i="2" s="1"/>
  <c r="O177" i="2"/>
  <c r="AA177" i="2"/>
  <c r="AD71" i="2"/>
  <c r="P71" i="2"/>
  <c r="P142" i="2" s="1"/>
  <c r="AB71" i="2"/>
  <c r="P2" i="8"/>
  <c r="AG162" i="2"/>
  <c r="T122" i="2"/>
  <c r="AH122" i="2" s="1"/>
  <c r="E119" i="2"/>
  <c r="AG40" i="2"/>
  <c r="AH40" i="2" s="1"/>
  <c r="AI40" i="2" s="1"/>
  <c r="T89" i="2"/>
  <c r="AH89" i="2" s="1"/>
  <c r="AG118" i="2"/>
  <c r="T81" i="2"/>
  <c r="AH81" i="2" s="1"/>
  <c r="E79" i="2"/>
  <c r="AG73" i="2"/>
  <c r="M66" i="2"/>
  <c r="T22" i="2"/>
  <c r="AG78" i="2"/>
  <c r="Q143" i="2"/>
  <c r="AE151" i="2"/>
  <c r="V145" i="2"/>
  <c r="L142" i="2"/>
  <c r="M142" i="2"/>
  <c r="M141" i="2"/>
  <c r="X155" i="2"/>
  <c r="P143" i="2"/>
  <c r="AA146" i="2"/>
  <c r="AD151" i="2"/>
  <c r="AA190" i="2"/>
  <c r="L155" i="2"/>
  <c r="U155" i="2"/>
  <c r="AD192" i="2"/>
  <c r="T83" i="2"/>
  <c r="AH83" i="2" s="1"/>
  <c r="T75" i="2"/>
  <c r="AH75" i="2" s="1"/>
  <c r="E73" i="2"/>
  <c r="AI73" i="2" s="1"/>
  <c r="O66" i="2"/>
  <c r="AG28" i="2"/>
  <c r="AH77" i="2"/>
  <c r="AI77" i="2" s="1"/>
  <c r="AG27" i="2"/>
  <c r="E80" i="2"/>
  <c r="P66" i="2"/>
  <c r="T79" i="2"/>
  <c r="L177" i="2"/>
  <c r="AH175" i="2"/>
  <c r="T175" i="2"/>
  <c r="S162" i="2"/>
  <c r="D42" i="1" s="1"/>
  <c r="C42" i="1"/>
  <c r="E42" i="1" s="1"/>
  <c r="AC177" i="2"/>
  <c r="AC165" i="2" s="1"/>
  <c r="AH179" i="2"/>
  <c r="T179" i="2"/>
  <c r="AG179" i="2"/>
  <c r="R177" i="2"/>
  <c r="T176" i="2"/>
  <c r="AH176" i="2"/>
  <c r="O71" i="2"/>
  <c r="X71" i="2"/>
  <c r="X131" i="2" s="1"/>
  <c r="U165" i="2"/>
  <c r="AA165" i="2"/>
  <c r="Y165" i="2"/>
  <c r="AE165" i="2"/>
  <c r="W165" i="2"/>
  <c r="H177" i="2"/>
  <c r="H183" i="2" s="1"/>
  <c r="AF165" i="2"/>
  <c r="AD165" i="2"/>
  <c r="X165" i="2"/>
  <c r="V165" i="2"/>
  <c r="T162" i="2"/>
  <c r="AG120" i="2"/>
  <c r="AG37" i="2"/>
  <c r="T53" i="2"/>
  <c r="AG44" i="2"/>
  <c r="T109" i="2"/>
  <c r="AH109" i="2" s="1"/>
  <c r="AI109" i="2" s="1"/>
  <c r="T111" i="2"/>
  <c r="AH111" i="2" s="1"/>
  <c r="E130" i="2"/>
  <c r="AI130" i="2" s="1"/>
  <c r="T108" i="2"/>
  <c r="AH108" i="2" s="1"/>
  <c r="E106" i="2"/>
  <c r="T65" i="2"/>
  <c r="T49" i="2"/>
  <c r="T113" i="2"/>
  <c r="AH113" i="2" s="1"/>
  <c r="AI113" i="2" s="1"/>
  <c r="AG32" i="2"/>
  <c r="AH32" i="2" s="1"/>
  <c r="AI32" i="2" s="1"/>
  <c r="AG110" i="2"/>
  <c r="AG102" i="2"/>
  <c r="T42" i="2"/>
  <c r="T73" i="2"/>
  <c r="AH73" i="2" s="1"/>
  <c r="AB67" i="2"/>
  <c r="AA67" i="2"/>
  <c r="Z67" i="2"/>
  <c r="AF67" i="2"/>
  <c r="Y67" i="2"/>
  <c r="Q67" i="2"/>
  <c r="X67" i="2"/>
  <c r="P67" i="2"/>
  <c r="H67" i="2"/>
  <c r="E71" i="2"/>
  <c r="W67" i="2"/>
  <c r="O67" i="2"/>
  <c r="V67" i="2"/>
  <c r="N67" i="2"/>
  <c r="U67" i="2"/>
  <c r="M67" i="2"/>
  <c r="AE67" i="2"/>
  <c r="L67" i="2"/>
  <c r="AD67" i="2"/>
  <c r="S67" i="2"/>
  <c r="D8" i="1"/>
  <c r="AC67" i="2"/>
  <c r="R67" i="2"/>
  <c r="AG31" i="2"/>
  <c r="AH31" i="2" s="1"/>
  <c r="AI31" i="2" s="1"/>
  <c r="R141" i="2"/>
  <c r="AD155" i="2"/>
  <c r="Y151" i="2"/>
  <c r="AG151" i="2" s="1"/>
  <c r="AH151" i="2" s="1"/>
  <c r="AA142" i="2"/>
  <c r="AD145" i="2"/>
  <c r="U142" i="2"/>
  <c r="L147" i="2"/>
  <c r="V190" i="2"/>
  <c r="AG190" i="2" s="1"/>
  <c r="T41" i="2"/>
  <c r="T63" i="2"/>
  <c r="T25" i="2"/>
  <c r="AA90" i="2"/>
  <c r="S90" i="2"/>
  <c r="Y90" i="2"/>
  <c r="Q90" i="2"/>
  <c r="AE90" i="2"/>
  <c r="W90" i="2"/>
  <c r="W144" i="2" s="1"/>
  <c r="O90" i="2"/>
  <c r="AC90" i="2"/>
  <c r="U90" i="2"/>
  <c r="M90" i="2"/>
  <c r="M131" i="2" s="1"/>
  <c r="R90" i="2"/>
  <c r="AF90" i="2"/>
  <c r="P90" i="2"/>
  <c r="P144" i="2" s="1"/>
  <c r="AD90" i="2"/>
  <c r="AD144" i="2" s="1"/>
  <c r="N90" i="2"/>
  <c r="AB90" i="2"/>
  <c r="L90" i="2"/>
  <c r="Z90" i="2"/>
  <c r="X90" i="2"/>
  <c r="V90" i="2"/>
  <c r="AG16" i="2"/>
  <c r="W66" i="2"/>
  <c r="AG58" i="2"/>
  <c r="AG42" i="2"/>
  <c r="T38" i="2"/>
  <c r="E89" i="2"/>
  <c r="AI89" i="2" s="1"/>
  <c r="AI24" i="2"/>
  <c r="AG29" i="2"/>
  <c r="AB177" i="2"/>
  <c r="AB165" i="2" s="1"/>
  <c r="AB163" i="2"/>
  <c r="AD185" i="2"/>
  <c r="R183" i="2"/>
  <c r="R161" i="2"/>
  <c r="Q177" i="2"/>
  <c r="Z177" i="2"/>
  <c r="Z165" i="2" s="1"/>
  <c r="Z163" i="2"/>
  <c r="S170" i="2"/>
  <c r="D50" i="1" s="1"/>
  <c r="C50" i="1"/>
  <c r="E50" i="1" s="1"/>
  <c r="AE71" i="2"/>
  <c r="AE142" i="2" s="1"/>
  <c r="I16" i="2" l="1"/>
  <c r="AH16" i="2"/>
  <c r="I41" i="2"/>
  <c r="AH41" i="2"/>
  <c r="AI119" i="2"/>
  <c r="AG177" i="2"/>
  <c r="AH50" i="2"/>
  <c r="AI50" i="2" s="1"/>
  <c r="I50" i="2"/>
  <c r="AH55" i="2"/>
  <c r="AI55" i="2" s="1"/>
  <c r="I55" i="2"/>
  <c r="AH110" i="2"/>
  <c r="AI110" i="2" s="1"/>
  <c r="N131" i="2"/>
  <c r="N136" i="2" s="1"/>
  <c r="N142" i="2"/>
  <c r="T161" i="2"/>
  <c r="AH161" i="2"/>
  <c r="AH74" i="2"/>
  <c r="AI74" i="2" s="1"/>
  <c r="T98" i="2"/>
  <c r="N192" i="2"/>
  <c r="AH168" i="2"/>
  <c r="AI81" i="2"/>
  <c r="AH85" i="2"/>
  <c r="AI85" i="2" s="1"/>
  <c r="T95" i="2"/>
  <c r="AI127" i="2"/>
  <c r="V171" i="2"/>
  <c r="AG171" i="2" s="1"/>
  <c r="AG184" i="2"/>
  <c r="C51" i="1"/>
  <c r="T88" i="2"/>
  <c r="AH47" i="2"/>
  <c r="AI47" i="2" s="1"/>
  <c r="I47" i="2"/>
  <c r="Q131" i="2"/>
  <c r="Q136" i="2" s="1"/>
  <c r="AE136" i="2"/>
  <c r="AH166" i="2"/>
  <c r="AG156" i="2"/>
  <c r="AH61" i="2"/>
  <c r="AI61" i="2" s="1"/>
  <c r="I61" i="2"/>
  <c r="H16" i="8"/>
  <c r="T147" i="2"/>
  <c r="L137" i="2"/>
  <c r="T67" i="2"/>
  <c r="Z132" i="2"/>
  <c r="Z137" i="2" s="1"/>
  <c r="Z138" i="2" s="1"/>
  <c r="R132" i="2"/>
  <c r="Y132" i="2"/>
  <c r="Y137" i="2" s="1"/>
  <c r="Y138" i="2" s="1"/>
  <c r="Q132" i="2"/>
  <c r="AF132" i="2"/>
  <c r="X132" i="2"/>
  <c r="P132" i="2"/>
  <c r="P137" i="2" s="1"/>
  <c r="P138" i="2" s="1"/>
  <c r="AE132" i="2"/>
  <c r="AC132" i="2"/>
  <c r="U132" i="2"/>
  <c r="AA132" i="2"/>
  <c r="S132" i="2"/>
  <c r="S137" i="2" s="1"/>
  <c r="S138" i="2" s="1"/>
  <c r="V132" i="2"/>
  <c r="V137" i="2" s="1"/>
  <c r="V138" i="2" s="1"/>
  <c r="N132" i="2"/>
  <c r="M132" i="2"/>
  <c r="M137" i="2" s="1"/>
  <c r="M138" i="2" s="1"/>
  <c r="AB132" i="2"/>
  <c r="O132" i="2"/>
  <c r="O137" i="2" s="1"/>
  <c r="O138" i="2" s="1"/>
  <c r="L132" i="2"/>
  <c r="W132" i="2"/>
  <c r="AD132" i="2"/>
  <c r="AH162" i="2"/>
  <c r="O131" i="2"/>
  <c r="V192" i="2"/>
  <c r="AH45" i="2"/>
  <c r="AI45" i="2" s="1"/>
  <c r="I45" i="2"/>
  <c r="AG123" i="2"/>
  <c r="AI92" i="2"/>
  <c r="T141" i="2"/>
  <c r="AH141" i="2" s="1"/>
  <c r="X142" i="2"/>
  <c r="AG142" i="2" s="1"/>
  <c r="AF185" i="2"/>
  <c r="AH35" i="2"/>
  <c r="AI35" i="2" s="1"/>
  <c r="I35" i="2"/>
  <c r="V131" i="2"/>
  <c r="V136" i="2" s="1"/>
  <c r="AH6" i="2"/>
  <c r="I6" i="2"/>
  <c r="AG95" i="2"/>
  <c r="AH54" i="2"/>
  <c r="AI54" i="2" s="1"/>
  <c r="I54" i="2"/>
  <c r="AH150" i="2"/>
  <c r="AH46" i="2"/>
  <c r="AI46" i="2" s="1"/>
  <c r="I46" i="2"/>
  <c r="AH92" i="2"/>
  <c r="AH104" i="2"/>
  <c r="AI104" i="2" s="1"/>
  <c r="AB136" i="2"/>
  <c r="AH12" i="2"/>
  <c r="AI12" i="2" s="1"/>
  <c r="I12" i="2"/>
  <c r="I10" i="2"/>
  <c r="AH10" i="2"/>
  <c r="AI10" i="2" s="1"/>
  <c r="M165" i="2"/>
  <c r="G177" i="2"/>
  <c r="G183" i="2" s="1"/>
  <c r="S165" i="2"/>
  <c r="D45" i="1" s="1"/>
  <c r="R165" i="2"/>
  <c r="Q165" i="2"/>
  <c r="O165" i="2"/>
  <c r="P165" i="2"/>
  <c r="N165" i="2"/>
  <c r="L165" i="2"/>
  <c r="B45" i="1"/>
  <c r="E45" i="1" s="1"/>
  <c r="I33" i="2"/>
  <c r="AH33" i="2"/>
  <c r="AI33" i="2" s="1"/>
  <c r="AH11" i="2"/>
  <c r="AI11" i="2" s="1"/>
  <c r="I11" i="2"/>
  <c r="AG88" i="2"/>
  <c r="R137" i="2"/>
  <c r="R138" i="2" s="1"/>
  <c r="AE137" i="2"/>
  <c r="AE138" i="2" s="1"/>
  <c r="AA137" i="2"/>
  <c r="AA138" i="2" s="1"/>
  <c r="I49" i="2"/>
  <c r="AH49" i="2"/>
  <c r="AI49" i="2" s="1"/>
  <c r="AI80" i="2"/>
  <c r="U146" i="2"/>
  <c r="AG146" i="2" s="1"/>
  <c r="AH190" i="2"/>
  <c r="T170" i="2"/>
  <c r="T183" i="2"/>
  <c r="AH183" i="2"/>
  <c r="T107" i="2"/>
  <c r="AH62" i="2"/>
  <c r="AI62" i="2" s="1"/>
  <c r="I62" i="2"/>
  <c r="J13" i="8"/>
  <c r="I17" i="8"/>
  <c r="I19" i="8" s="1"/>
  <c r="AI84" i="2"/>
  <c r="T66" i="2"/>
  <c r="AH97" i="2"/>
  <c r="AI97" i="2" s="1"/>
  <c r="AI90" i="2"/>
  <c r="Z171" i="2"/>
  <c r="AE171" i="2"/>
  <c r="Z131" i="2"/>
  <c r="Z136" i="2" s="1"/>
  <c r="AH94" i="2"/>
  <c r="AI94" i="2" s="1"/>
  <c r="AG106" i="2"/>
  <c r="AI96" i="2"/>
  <c r="T143" i="2"/>
  <c r="AH143" i="2" s="1"/>
  <c r="J9" i="8"/>
  <c r="J11" i="8" s="1"/>
  <c r="AH36" i="2"/>
  <c r="AI36" i="2" s="1"/>
  <c r="I36" i="2"/>
  <c r="AH112" i="2"/>
  <c r="AG189" i="2"/>
  <c r="U192" i="2"/>
  <c r="AG192" i="2" s="1"/>
  <c r="T156" i="2"/>
  <c r="AH13" i="2"/>
  <c r="AI13" i="2" s="1"/>
  <c r="I13" i="2"/>
  <c r="W137" i="2"/>
  <c r="W138" i="2" s="1"/>
  <c r="AH19" i="2"/>
  <c r="AI19" i="2" s="1"/>
  <c r="I19" i="2"/>
  <c r="AH38" i="2"/>
  <c r="AI38" i="2" s="1"/>
  <c r="I38" i="2"/>
  <c r="AC137" i="2"/>
  <c r="AC138" i="2" s="1"/>
  <c r="AB137" i="2"/>
  <c r="AB138" i="2" s="1"/>
  <c r="I65" i="2"/>
  <c r="AH65" i="2"/>
  <c r="AI65" i="2" s="1"/>
  <c r="X136" i="2"/>
  <c r="AG99" i="2"/>
  <c r="AH99" i="2" s="1"/>
  <c r="AI99" i="2" s="1"/>
  <c r="AI103" i="2"/>
  <c r="AH170" i="2"/>
  <c r="AI72" i="2"/>
  <c r="O142" i="2"/>
  <c r="T142" i="2" s="1"/>
  <c r="AH142" i="2" s="1"/>
  <c r="T91" i="2"/>
  <c r="U131" i="2"/>
  <c r="AG71" i="2"/>
  <c r="T106" i="2"/>
  <c r="AH106" i="2" s="1"/>
  <c r="AI106" i="2" s="1"/>
  <c r="AH44" i="2"/>
  <c r="AI44" i="2" s="1"/>
  <c r="I44" i="2"/>
  <c r="H14" i="8"/>
  <c r="T145" i="2"/>
  <c r="AC147" i="2"/>
  <c r="AG147" i="2" s="1"/>
  <c r="AF137" i="2"/>
  <c r="AF138" i="2" s="1"/>
  <c r="S131" i="2"/>
  <c r="S136" i="2" s="1"/>
  <c r="S142" i="2"/>
  <c r="AH76" i="2"/>
  <c r="AI76" i="2" s="1"/>
  <c r="T90" i="2"/>
  <c r="AH90" i="2" s="1"/>
  <c r="AG90" i="2"/>
  <c r="U137" i="2"/>
  <c r="AG67" i="2"/>
  <c r="X137" i="2"/>
  <c r="X138" i="2" s="1"/>
  <c r="AH53" i="2"/>
  <c r="AI53" i="2" s="1"/>
  <c r="I53" i="2"/>
  <c r="I22" i="2"/>
  <c r="AH22" i="2"/>
  <c r="AI22" i="2" s="1"/>
  <c r="AB131" i="2"/>
  <c r="U185" i="2"/>
  <c r="AG183" i="2"/>
  <c r="T115" i="2"/>
  <c r="AH115" i="2" s="1"/>
  <c r="AI115" i="2" s="1"/>
  <c r="I29" i="2"/>
  <c r="AH29" i="2"/>
  <c r="AI29" i="2" s="1"/>
  <c r="AI83" i="2"/>
  <c r="T123" i="2"/>
  <c r="AH123" i="2" s="1"/>
  <c r="AI123" i="2" s="1"/>
  <c r="T87" i="2"/>
  <c r="T153" i="2"/>
  <c r="AH153" i="2" s="1"/>
  <c r="AI122" i="2"/>
  <c r="AA131" i="2"/>
  <c r="AA136" i="2" s="1"/>
  <c r="AI9" i="2"/>
  <c r="G171" i="2"/>
  <c r="I8" i="2"/>
  <c r="AH8" i="2"/>
  <c r="AI8" i="2" s="1"/>
  <c r="W171" i="2"/>
  <c r="AA171" i="2"/>
  <c r="X171" i="2"/>
  <c r="AH14" i="2"/>
  <c r="AI14" i="2" s="1"/>
  <c r="I14" i="2"/>
  <c r="AI118" i="2"/>
  <c r="AF131" i="2"/>
  <c r="AF136" i="2" s="1"/>
  <c r="M192" i="2"/>
  <c r="T192" i="2" s="1"/>
  <c r="T189" i="2"/>
  <c r="AH189" i="2" s="1"/>
  <c r="AI112" i="2"/>
  <c r="AD137" i="2"/>
  <c r="AD138" i="2" s="1"/>
  <c r="H15" i="8"/>
  <c r="T146" i="2"/>
  <c r="AH23" i="2"/>
  <c r="AI23" i="2" s="1"/>
  <c r="I23" i="2"/>
  <c r="AE131" i="2"/>
  <c r="AH25" i="2"/>
  <c r="AI25" i="2" s="1"/>
  <c r="I25" i="2"/>
  <c r="N137" i="2"/>
  <c r="N138" i="2" s="1"/>
  <c r="AH42" i="2"/>
  <c r="AI42" i="2" s="1"/>
  <c r="I42" i="2"/>
  <c r="T177" i="2"/>
  <c r="AH177" i="2"/>
  <c r="AG155" i="2"/>
  <c r="P131" i="2"/>
  <c r="P136" i="2" s="1"/>
  <c r="AG115" i="2"/>
  <c r="AG66" i="2"/>
  <c r="L131" i="2"/>
  <c r="T71" i="2"/>
  <c r="AH71" i="2" s="1"/>
  <c r="AI71" i="2" s="1"/>
  <c r="AG98" i="2"/>
  <c r="AG107" i="2"/>
  <c r="AH58" i="2"/>
  <c r="AI58" i="2" s="1"/>
  <c r="I58" i="2"/>
  <c r="AB144" i="2"/>
  <c r="AG144" i="2" s="1"/>
  <c r="AI111" i="2"/>
  <c r="W131" i="2"/>
  <c r="W136" i="2" s="1"/>
  <c r="T163" i="2"/>
  <c r="AH163" i="2"/>
  <c r="AF171" i="2"/>
  <c r="AB185" i="2"/>
  <c r="AH27" i="2"/>
  <c r="AI27" i="2" s="1"/>
  <c r="I27" i="2"/>
  <c r="AC185" i="2"/>
  <c r="L144" i="2"/>
  <c r="T144" i="2" s="1"/>
  <c r="T100" i="2"/>
  <c r="AH100" i="2" s="1"/>
  <c r="AH128" i="2"/>
  <c r="AI128" i="2" s="1"/>
  <c r="H6" i="8"/>
  <c r="T154" i="2"/>
  <c r="AI124" i="2"/>
  <c r="I28" i="2"/>
  <c r="AH28" i="2"/>
  <c r="AI28" i="2" s="1"/>
  <c r="AH63" i="2"/>
  <c r="AI63" i="2" s="1"/>
  <c r="I63" i="2"/>
  <c r="Q137" i="2"/>
  <c r="Q138" i="2" s="1"/>
  <c r="AG165" i="2"/>
  <c r="AH79" i="2"/>
  <c r="AI79" i="2" s="1"/>
  <c r="O136" i="2"/>
  <c r="H7" i="8"/>
  <c r="T155" i="2"/>
  <c r="M136" i="2"/>
  <c r="AD131" i="2"/>
  <c r="AD136" i="2" s="1"/>
  <c r="AI100" i="2"/>
  <c r="Y131" i="2"/>
  <c r="Y136" i="2" s="1"/>
  <c r="Y142" i="2"/>
  <c r="AI108" i="2"/>
  <c r="AG87" i="2"/>
  <c r="AC136" i="2"/>
  <c r="AD142" i="2"/>
  <c r="O9" i="8"/>
  <c r="O11" i="8" s="1"/>
  <c r="I57" i="2"/>
  <c r="AH57" i="2"/>
  <c r="AI57" i="2" s="1"/>
  <c r="I37" i="2"/>
  <c r="AH37" i="2"/>
  <c r="AI37" i="2" s="1"/>
  <c r="AG91" i="2"/>
  <c r="AI126" i="2"/>
  <c r="R131" i="2"/>
  <c r="R136" i="2" s="1"/>
  <c r="AI75" i="2"/>
  <c r="AH17" i="2"/>
  <c r="AI17" i="2" s="1"/>
  <c r="I17" i="2"/>
  <c r="AH39" i="2"/>
  <c r="I39" i="2"/>
  <c r="AG131" i="2" l="1"/>
  <c r="J17" i="8"/>
  <c r="J19" i="8" s="1"/>
  <c r="K13" i="8"/>
  <c r="I66" i="2"/>
  <c r="I67" i="2"/>
  <c r="T137" i="2"/>
  <c r="L138" i="2"/>
  <c r="T131" i="2"/>
  <c r="AH131" i="2" s="1"/>
  <c r="AH87" i="2"/>
  <c r="AI87" i="2" s="1"/>
  <c r="AH91" i="2"/>
  <c r="AI91" i="2" s="1"/>
  <c r="P8" i="8"/>
  <c r="AH156" i="2"/>
  <c r="AH165" i="2"/>
  <c r="T165" i="2"/>
  <c r="D22" i="1"/>
  <c r="AI6" i="2"/>
  <c r="P16" i="8"/>
  <c r="AH147" i="2"/>
  <c r="AH66" i="2"/>
  <c r="A8" i="1" s="1"/>
  <c r="D21" i="1"/>
  <c r="AI39" i="2"/>
  <c r="E21" i="1" s="1"/>
  <c r="H9" i="8"/>
  <c r="H11" i="8" s="1"/>
  <c r="P11" i="8" s="1"/>
  <c r="A12" i="1" s="1"/>
  <c r="U136" i="2"/>
  <c r="AG136" i="2" s="1"/>
  <c r="D20" i="1"/>
  <c r="H17" i="8"/>
  <c r="L136" i="2"/>
  <c r="T136" i="2" s="1"/>
  <c r="AH107" i="2"/>
  <c r="AI107" i="2" s="1"/>
  <c r="D19" i="1"/>
  <c r="AI16" i="2"/>
  <c r="E19" i="1" s="1"/>
  <c r="P15" i="8"/>
  <c r="AH146" i="2"/>
  <c r="P14" i="8"/>
  <c r="AH145" i="2"/>
  <c r="E20" i="1"/>
  <c r="U138" i="2"/>
  <c r="AG137" i="2"/>
  <c r="AG138" i="2" s="1"/>
  <c r="P6" i="8"/>
  <c r="AH154" i="2"/>
  <c r="M184" i="2"/>
  <c r="M185" i="2" s="1"/>
  <c r="L184" i="2"/>
  <c r="P171" i="2"/>
  <c r="L21" i="8" s="1"/>
  <c r="L23" i="8" s="1"/>
  <c r="S184" i="2"/>
  <c r="S185" i="2" s="1"/>
  <c r="R184" i="2"/>
  <c r="R185" i="2" s="1"/>
  <c r="P184" i="2"/>
  <c r="P185" i="2" s="1"/>
  <c r="O184" i="2"/>
  <c r="O185" i="2" s="1"/>
  <c r="R171" i="2"/>
  <c r="N21" i="8" s="1"/>
  <c r="N23" i="8" s="1"/>
  <c r="Q171" i="2"/>
  <c r="M21" i="8" s="1"/>
  <c r="M23" i="8" s="1"/>
  <c r="O171" i="2"/>
  <c r="K21" i="8" s="1"/>
  <c r="K23" i="8" s="1"/>
  <c r="Q184" i="2"/>
  <c r="Q185" i="2" s="1"/>
  <c r="M171" i="2"/>
  <c r="I21" i="8" s="1"/>
  <c r="I23" i="8" s="1"/>
  <c r="S171" i="2"/>
  <c r="N171" i="2"/>
  <c r="J21" i="8" s="1"/>
  <c r="J23" i="8" s="1"/>
  <c r="L171" i="2"/>
  <c r="N184" i="2"/>
  <c r="N185" i="2" s="1"/>
  <c r="B51" i="1"/>
  <c r="J6" i="1"/>
  <c r="P7" i="8"/>
  <c r="AH155" i="2"/>
  <c r="F55" i="1"/>
  <c r="T132" i="2"/>
  <c r="AG132" i="2"/>
  <c r="D18" i="1"/>
  <c r="AH88" i="2"/>
  <c r="AI88" i="2" s="1"/>
  <c r="AH95" i="2"/>
  <c r="AI95" i="2" s="1"/>
  <c r="AH98" i="2"/>
  <c r="AI98" i="2" s="1"/>
  <c r="D23" i="1"/>
  <c r="AI41" i="2"/>
  <c r="E23" i="1" s="1"/>
  <c r="AH144" i="2"/>
  <c r="E18" i="1"/>
  <c r="AH192" i="2"/>
  <c r="AG185" i="2"/>
  <c r="AH67" i="2"/>
  <c r="A6" i="1" s="1"/>
  <c r="D25" i="1" l="1"/>
  <c r="B37" i="1"/>
  <c r="H35" i="1"/>
  <c r="G34" i="1"/>
  <c r="F33" i="1"/>
  <c r="E32" i="1"/>
  <c r="D31" i="1"/>
  <c r="C30" i="1"/>
  <c r="H36" i="1"/>
  <c r="G35" i="1"/>
  <c r="F34" i="1"/>
  <c r="E33" i="1"/>
  <c r="D32" i="1"/>
  <c r="C31" i="1"/>
  <c r="B30" i="1"/>
  <c r="B31" i="1"/>
  <c r="C36" i="1"/>
  <c r="H33" i="1"/>
  <c r="H37" i="1"/>
  <c r="G36" i="1"/>
  <c r="F35" i="1"/>
  <c r="E34" i="1"/>
  <c r="D33" i="1"/>
  <c r="C32" i="1"/>
  <c r="G37" i="1"/>
  <c r="E35" i="1"/>
  <c r="D34" i="1"/>
  <c r="C33" i="1"/>
  <c r="H30" i="1"/>
  <c r="F31" i="1"/>
  <c r="F36" i="1"/>
  <c r="B32" i="1"/>
  <c r="B35" i="1"/>
  <c r="E30" i="1"/>
  <c r="F37" i="1"/>
  <c r="E36" i="1"/>
  <c r="D35" i="1"/>
  <c r="C34" i="1"/>
  <c r="B33" i="1"/>
  <c r="H31" i="1"/>
  <c r="G30" i="1"/>
  <c r="B34" i="1"/>
  <c r="G31" i="1"/>
  <c r="G32" i="1"/>
  <c r="E37" i="1"/>
  <c r="D36" i="1"/>
  <c r="C35" i="1"/>
  <c r="H32" i="1"/>
  <c r="F30" i="1"/>
  <c r="D37" i="1"/>
  <c r="C37" i="1"/>
  <c r="B36" i="1"/>
  <c r="H34" i="1"/>
  <c r="G33" i="1"/>
  <c r="F32" i="1"/>
  <c r="E31" i="1"/>
  <c r="D30" i="1"/>
  <c r="E22" i="1"/>
  <c r="E25" i="1" s="1"/>
  <c r="H21" i="8"/>
  <c r="H23" i="8" s="1"/>
  <c r="T171" i="2"/>
  <c r="P21" i="8" s="1"/>
  <c r="P23" i="8" s="1"/>
  <c r="G12" i="1" s="1"/>
  <c r="AH171" i="2"/>
  <c r="P9" i="8"/>
  <c r="A14" i="1" s="1"/>
  <c r="AH132" i="2"/>
  <c r="T138" i="2"/>
  <c r="AH137" i="2"/>
  <c r="O21" i="8"/>
  <c r="D51" i="1"/>
  <c r="E51" i="1"/>
  <c r="J8" i="1"/>
  <c r="D6" i="1"/>
  <c r="L13" i="8"/>
  <c r="K17" i="8"/>
  <c r="K19" i="8" s="1"/>
  <c r="T184" i="2"/>
  <c r="T185" i="2" s="1"/>
  <c r="AH184" i="2"/>
  <c r="AH185" i="2" s="1"/>
  <c r="L185" i="2"/>
  <c r="AH136" i="2"/>
  <c r="H19" i="8"/>
  <c r="F24" i="1" l="1"/>
  <c r="F23" i="1"/>
  <c r="F20" i="1"/>
  <c r="F18" i="1"/>
  <c r="F19" i="1"/>
  <c r="F21" i="1"/>
  <c r="G14" i="1"/>
  <c r="O23" i="8"/>
  <c r="L17" i="8"/>
  <c r="M13" i="8"/>
  <c r="AH138" i="2"/>
  <c r="G6" i="1"/>
  <c r="G8" i="1"/>
  <c r="F22" i="1"/>
  <c r="F25" i="1" l="1"/>
  <c r="N13" i="8"/>
  <c r="M17" i="8"/>
  <c r="M19" i="8" s="1"/>
  <c r="L19" i="8"/>
  <c r="O13" i="8" l="1"/>
  <c r="N17" i="8"/>
  <c r="N19" i="8" l="1"/>
  <c r="P13" i="8"/>
  <c r="O17" i="8"/>
  <c r="O19" i="8" s="1"/>
  <c r="P17" i="8" l="1"/>
  <c r="P19" i="8" l="1"/>
  <c r="D12" i="1" s="1"/>
  <c r="D14" i="1"/>
</calcChain>
</file>

<file path=xl/sharedStrings.xml><?xml version="1.0" encoding="utf-8"?>
<sst xmlns="http://schemas.openxmlformats.org/spreadsheetml/2006/main" count="1660" uniqueCount="905">
  <si>
    <t>PIPELINE EXECUTIVE DASHBOARD</t>
  </si>
  <si>
    <t>PIPELINE — WEIGHTED</t>
  </si>
  <si>
    <t>MATERIALIZING (75%+ PROB)</t>
  </si>
  <si>
    <t>PROJECTED GP — WEIGHTED</t>
  </si>
  <si>
    <t>FREE CAPACITY BASELINE</t>
  </si>
  <si>
    <t>💰  FORECAST vs BUDGET — FY26</t>
  </si>
  <si>
    <t>FY26 REVENUE GAP</t>
  </si>
  <si>
    <t>FY26 GP GAP</t>
  </si>
  <si>
    <t>UNSOLD CAPACITY VALUE</t>
  </si>
  <si>
    <t>📊  PIPELINE BY STAGE</t>
  </si>
  <si>
    <t>Stage</t>
  </si>
  <si>
    <t>Probability</t>
  </si>
  <si>
    <t># Deals</t>
  </si>
  <si>
    <t>Pipeline (Unwtd)</t>
  </si>
  <si>
    <t>Pipeline (Wtd)</t>
  </si>
  <si>
    <t>% of Total Wtd</t>
  </si>
  <si>
    <t>Contract Negotiation</t>
  </si>
  <si>
    <t>Shortlisted</t>
  </si>
  <si>
    <t>Proposal Sent</t>
  </si>
  <si>
    <t>Qualified</t>
  </si>
  <si>
    <t>Prospecting</t>
  </si>
  <si>
    <t>Closed Won</t>
  </si>
  <si>
    <t>Closed Lost</t>
  </si>
  <si>
    <t>TOTAL</t>
  </si>
  <si>
    <t>🎯  TOP DEALS BY WEIGHTED VALUE  —  what's most likely to materialize</t>
  </si>
  <si>
    <t>#</t>
  </si>
  <si>
    <t>Customer</t>
  </si>
  <si>
    <t>Warehouse</t>
  </si>
  <si>
    <t>Go-Live</t>
  </si>
  <si>
    <t>ACV (SAR)</t>
  </si>
  <si>
    <t>Weighted (SAR)</t>
  </si>
  <si>
    <t>🏭  WAREHOUSE CAPACITY  —  utilization at end of 2026</t>
  </si>
  <si>
    <t>Baseline Free Space</t>
  </si>
  <si>
    <t>Committed (Dec-26)</t>
  </si>
  <si>
    <t>Remaining (Dec-26)</t>
  </si>
  <si>
    <t>Utilization %</t>
  </si>
  <si>
    <t>Dammam Port</t>
  </si>
  <si>
    <t>Dammam 2nd Ind</t>
  </si>
  <si>
    <t>Jubail 1</t>
  </si>
  <si>
    <t>Jubail 2</t>
  </si>
  <si>
    <t>Jubail Total</t>
  </si>
  <si>
    <t>Jeddah Modon 3A</t>
  </si>
  <si>
    <t>Jeddah Modon 3B</t>
  </si>
  <si>
    <t>RUH Tayba</t>
  </si>
  <si>
    <t>Subcontractor</t>
  </si>
  <si>
    <t>Contract Logistics</t>
  </si>
  <si>
    <t>NETWORK TOTAL</t>
  </si>
  <si>
    <t>⚠️  TOP RISKS &amp; ACTIONS NEEDED  —  what requires leadership decision</t>
  </si>
  <si>
    <t>Risk / Action</t>
  </si>
  <si>
    <t>Impact</t>
  </si>
  <si>
    <t>Owner</t>
  </si>
  <si>
    <t>Status</t>
  </si>
  <si>
    <t>L1</t>
  </si>
  <si>
    <t>Move 5 deals from Proposal Sent (60%) → Contract Negotiation (90%)</t>
  </si>
  <si>
    <t>Sales (Hano)</t>
  </si>
  <si>
    <t>Open</t>
  </si>
  <si>
    <t>L2</t>
  </si>
  <si>
    <t>Fix top 4 ACV flags: Tejoury, KN-Hample, Baxter, SNB</t>
  </si>
  <si>
    <t>+/− 3.7M SAR forecast accuracy</t>
  </si>
  <si>
    <t>Sales / Ops</t>
  </si>
  <si>
    <t>L3</t>
  </si>
  <si>
    <t>Calibrate Cost % per deal (replace 75% global default)</t>
  </si>
  <si>
    <t>+/− 2-3M SAR GP visibility</t>
  </si>
  <si>
    <t>Finance</t>
  </si>
  <si>
    <t>L4</t>
  </si>
  <si>
    <t>Resolve RUH Tayba over-commitment by Dec-26</t>
  </si>
  <si>
    <t>≈ 1M SAR at stake</t>
  </si>
  <si>
    <t>COO</t>
  </si>
  <si>
    <t>Decision needed</t>
  </si>
  <si>
    <t>L5</t>
  </si>
  <si>
    <t>Formalize Subcontractor capacity (4,500 pallets without baseline)</t>
  </si>
  <si>
    <t>≈ 675K SAR at stake</t>
  </si>
  <si>
    <t>R1</t>
  </si>
  <si>
    <t>Tejoury: ACV corrected (4.4M); Source CY in CRM still stale (660K)</t>
  </si>
  <si>
    <t>Cosmetic — flag only</t>
  </si>
  <si>
    <t>Hano</t>
  </si>
  <si>
    <t>Resolved data</t>
  </si>
  <si>
    <t>R2</t>
  </si>
  <si>
    <t>11 total data discrepancy flags — see Pipeline Report Notes column</t>
  </si>
  <si>
    <t>Review weekly</t>
  </si>
  <si>
    <t>Sales</t>
  </si>
  <si>
    <t>PIPELINE ROLLING PROFITABILITY REPORT</t>
  </si>
  <si>
    <t>Period:</t>
  </si>
  <si>
    <t>May-26 to Dec-27 (20 months)</t>
  </si>
  <si>
    <t>Currency:</t>
  </si>
  <si>
    <t>SAR</t>
  </si>
  <si>
    <t>Last Updated:</t>
  </si>
  <si>
    <t>05-May-2026</t>
  </si>
  <si>
    <t>Source:</t>
  </si>
  <si>
    <t>Hala YTD WH Pipeline (Hano Oberholzer, 05-May-2026)</t>
  </si>
  <si>
    <t>1. PIPELINE OPPORTUNITIES (Revenue)</t>
  </si>
  <si>
    <t>Customer / Opportunity</t>
  </si>
  <si>
    <t>Opportunity Owner</t>
  </si>
  <si>
    <t>Warehouse Location</t>
  </si>
  <si>
    <t>Ops Go-Live Date</t>
  </si>
  <si>
    <t>Annual Contract Value</t>
  </si>
  <si>
    <t>Expected Revenue (Current Yr)</t>
  </si>
  <si>
    <t>Volume - Pallets</t>
  </si>
  <si>
    <t>Volume - SQM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</si>
  <si>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</si>
  <si>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</si>
  <si>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</si>
  <si>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</si>
  <si>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</si>
  <si>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</si>
  <si>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</si>
  <si>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</si>
  <si>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2026 Total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</si>
  <si>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</si>
  <si>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</si>
  <si>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</si>
  <si>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</si>
  <si>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</si>
  <si>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</si>
  <si>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</si>
  <si>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</si>
  <si>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</si>
  <si>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</si>
  <si>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</si>
  <si>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</si>
  <si>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2027 Total</t>
  </si>
  <si>
    <t>Grand Total</t>
  </si>
  <si>
    <t>Weighted Total</t>
  </si>
  <si>
    <t>Notes</t>
  </si>
  <si>
    <t>TOTAL PIPELINE (Unweighted)</t>
  </si>
  <si>
    <t>TOTAL PIPELINE (Probability-Weighted)</t>
  </si>
  <si>
    <t>2. COST PROJECTIONS (Cost % per deal × Revenue ACV; monthly cells follow Go-Live)</t>
  </si>
  <si>
    <t>Customer / Cost Item</t>
  </si>
  <si>
    <t>Cost %</t>
  </si>
  <si>
    <t>Annual Cost (Projected)</t>
  </si>
  <si>
    <t>TOTAL COSTS (Unweighted)</t>
  </si>
  <si>
    <t>TOTAL COSTS (Probability-Weighted)</t>
  </si>
  <si>
    <t>3. GROSS PROFIT IMPACT</t>
  </si>
  <si>
    <t>Metric</t>
  </si>
  <si>
    <t>GP (Unweighted)</t>
  </si>
  <si>
    <t>GP (Probability-Weighted)</t>
  </si>
  <si>
    <t>GP % (Weighted)</t>
  </si>
  <si>
    <t>GP per Stage (Unweighted) — Revenue minus Cost, filtered by Stage</t>
  </si>
  <si>
    <t>GP — Closed Lost</t>
  </si>
  <si>
    <t>GP — Prospecting</t>
  </si>
  <si>
    <t>GP — Qualified</t>
  </si>
  <si>
    <t>GP — Proposal Sent</t>
  </si>
  <si>
    <t>GP — Shortlisted</t>
  </si>
  <si>
    <t>GP — Contract Negotiation</t>
  </si>
  <si>
    <t>GP — Closed Won</t>
  </si>
  <si>
    <t>Revenue per Stage (Unweighted) — Section 1 revenue, filtered by stage</t>
  </si>
  <si>
    <t>Revenue — Closed Lost</t>
  </si>
  <si>
    <t>Revenue — Prospecting</t>
  </si>
  <si>
    <t>Revenue — Qualified</t>
  </si>
  <si>
    <t>Revenue — Proposal Sent</t>
  </si>
  <si>
    <t>Revenue — Shortlisted</t>
  </si>
  <si>
    <t>Revenue — Contract Negotiation</t>
  </si>
  <si>
    <t>Revenue — Closed Won</t>
  </si>
  <si>
    <t>4. SPACE AVAILABILITY — PALLET POSITIONS</t>
  </si>
  <si>
    <t>Total Locations</t>
  </si>
  <si>
    <t>Total Capacity</t>
  </si>
  <si>
    <t>Occupied Capacity</t>
  </si>
  <si>
    <t>Sellable Capacity</t>
  </si>
  <si>
    <t>Committed Capacity</t>
  </si>
  <si>
    <t>Blocked Locations</t>
  </si>
  <si>
    <t>Virtual Locations</t>
  </si>
  <si>
    <t>2026 Avg</t>
  </si>
  <si>
    <t>2027 Avg</t>
  </si>
  <si>
    <t>Avg</t>
  </si>
  <si>
    <t>4A. Remaining Available Pallet Positions (= Warehouse Capacity - Cumulative Committed [Closed Won + Contract Negotiation + Shortlisted])</t>
  </si>
  <si>
    <t>Dammam 2nd Ind -Tad WH</t>
  </si>
  <si>
    <t>Total Remaining Available Pallet Positions</t>
  </si>
  <si>
    <t>4B. Committed Pallet Positions (auto: cumulative based on go live date) — Closed Won + Contract Negotiation + Shortlisted</t>
  </si>
  <si>
    <t>Total Committed Pallet Positions</t>
  </si>
  <si>
    <t>Free Space Baseline  (Sellable Capacity)</t>
  </si>
  <si>
    <t>Utilization %  (Committed / Baseline)</t>
  </si>
  <si>
    <t>5. PROBABLE POTENTIAL INCOME (PPI) — Probability-weighted income from Shortlisted, Contract Negotiation &amp; Closed Won deals (30-day payment delay applied)</t>
  </si>
  <si>
    <t>PPI — Shortlisted</t>
  </si>
  <si>
    <t>PPI — Contract Negotiation</t>
  </si>
  <si>
    <t>PPI — Closed Won</t>
  </si>
  <si>
    <t>TOTAL PPI</t>
  </si>
  <si>
    <t>LEGEND</t>
  </si>
  <si>
    <t>Blue text</t>
  </si>
  <si>
    <t>→ Inputs (you fill these in)</t>
  </si>
  <si>
    <t>Black text</t>
  </si>
  <si>
    <t>→ Formulas (auto-calculated)</t>
  </si>
  <si>
    <t>Green text</t>
  </si>
  <si>
    <t>→ Mirrored from another section (e.g., Cost rows mirror Pipeline customers)</t>
  </si>
  <si>
    <t>Yellow fill</t>
  </si>
  <si>
    <t>→ Key assumption / required input</t>
  </si>
  <si>
    <t>Grey fill</t>
  </si>
  <si>
    <t>→ Field not applicable in this section</t>
  </si>
  <si>
    <t>Light blue fill</t>
  </si>
  <si>
    <t>→ Year subtotal column (2026 Total / 2027 Total)</t>
  </si>
  <si>
    <t>Orange flag</t>
  </si>
  <si>
    <t>→ Source Expected CY ≠ ACV/12 distribution (review)</t>
  </si>
  <si>
    <t>Note:</t>
  </si>
  <si>
    <t>Monthly amounts = ACV÷12 from Go-Live month onwards, continuing through Dec-27 (assumes contracts continue/renew past 12 months)</t>
  </si>
  <si>
    <t>Tip:</t>
  </si>
  <si>
    <t>Probability auto-fills from Stage via VLOOKUP. To override for a specific deal, type the value directly over the formula in column E.</t>
  </si>
  <si>
    <t>HEADER COLORS</t>
  </si>
  <si>
    <t>Amber</t>
  </si>
  <si>
    <t>→ KEY DRIVER inputs (Go-Live &amp; ACV) — these drive the monthly revenue calc</t>
  </si>
  <si>
    <t>Yellow</t>
  </si>
  <si>
    <t>→ Editable inputs (Customer, Owner, Stage, Location, Pallets, etc.)</t>
  </si>
  <si>
    <t>STAGE → PROBABILITY MAPPING (edit % values to change defaults across the whole report)</t>
  </si>
  <si>
    <t>Default Probability</t>
  </si>
  <si>
    <t>PIPELINE DATA  —  paste your latest CRM export into rows 2-41 (account names, ACVs, stages, etc.). The main report will refresh automatically.</t>
  </si>
  <si>
    <t>Warehouse (raw)</t>
  </si>
  <si>
    <t>Opportunity Name</t>
  </si>
  <si>
    <t>Account / Customer</t>
  </si>
  <si>
    <t>Pallets</t>
  </si>
  <si>
    <t>SQM</t>
  </si>
  <si>
    <t>Source Exp CY</t>
  </si>
  <si>
    <t>ACV (Annual)</t>
  </si>
  <si>
    <t>Go-Live Date</t>
  </si>
  <si>
    <t>Region</t>
  </si>
  <si>
    <t>DMM 2nd Ind</t>
  </si>
  <si>
    <t>ChampionX/DMM/WH/4000PP</t>
  </si>
  <si>
    <t>SLB</t>
  </si>
  <si>
    <t>Yazan Darwish</t>
  </si>
  <si>
    <t>East</t>
  </si>
  <si>
    <t>Opp: ChampionX/DMM/WH/4000PP | Region: East</t>
  </si>
  <si>
    <t>NALCO/WH/DMM/4000PP</t>
  </si>
  <si>
    <t>NALCO Ecolab</t>
  </si>
  <si>
    <t>Opp: NALCO/WH/DMM/4000PP | Region: East</t>
  </si>
  <si>
    <t>Synthomer/WH/DMM/1500PP</t>
  </si>
  <si>
    <t>Synthomer ME</t>
  </si>
  <si>
    <t>Opp: Synthomer/WH/DMM/1500PP | Region: East</t>
  </si>
  <si>
    <t>Transworld/DMM/WH/500PP</t>
  </si>
  <si>
    <t>Transworld Saudi Logistics</t>
  </si>
  <si>
    <t>Opp: Transworld/DMM/WH/500PP | Region: East</t>
  </si>
  <si>
    <t>Schmidt/WH/DMM2/400PP</t>
  </si>
  <si>
    <t>Schmidt</t>
  </si>
  <si>
    <t>Opp: Schmidt/WH/DMM2/400PP | Region: East</t>
  </si>
  <si>
    <t>Zaghami/WH/DMM/250PP</t>
  </si>
  <si>
    <t>Zaghami</t>
  </si>
  <si>
    <t>Opp: Zaghami/WH/DMM/250PP | Region: East</t>
  </si>
  <si>
    <t>Transworld/DMM/WH/250PP</t>
  </si>
  <si>
    <t>⚠ Source Exp CY (113,750) ≠ ACV/12 implied (94,792) | Opp: Transworld/DMM/WH/250PP | Region: East</t>
  </si>
  <si>
    <t>iEnergy/WH/DMM2/250PP</t>
  </si>
  <si>
    <t>i-Energy</t>
  </si>
  <si>
    <t>Opp: iEnergy/WH/DMM2/250PP | Region: East</t>
  </si>
  <si>
    <t>FMS/DMM/WH/100PP</t>
  </si>
  <si>
    <t>FMS Group</t>
  </si>
  <si>
    <t>⚠ Source Exp CY (35,000) ≠ ACV/12 implied (29,167) | Opp: FMS/DMM/WH/100PP | Region: East</t>
  </si>
  <si>
    <t>El Ajou Group/WH/DAMM2nd/100PP</t>
  </si>
  <si>
    <t>El Ajou Group</t>
  </si>
  <si>
    <t>Opp: El Ajou Group/WH/DAMM2nd/100PP | Region: East</t>
  </si>
  <si>
    <t>JAS/WH/JUB/1400PP</t>
  </si>
  <si>
    <t>JAS</t>
  </si>
  <si>
    <t>Opp: JAS/WH/JUB/1400PP | Region: East</t>
  </si>
  <si>
    <t>LXPantos/WH/JUB1/1000PP</t>
  </si>
  <si>
    <t>LX Pantos Logistics</t>
  </si>
  <si>
    <t>Opp: LXPantos/WH/JUB1/1000PP | Region: East</t>
  </si>
  <si>
    <t>S-Chem/WH/JUB1/730PP</t>
  </si>
  <si>
    <t>S-Chem</t>
  </si>
  <si>
    <t>⚠ Source Exp CY (323,400) ≠ ACV/12 implied (80,850) | Opp: S-Chem/WH/JUB1/730PP | Region: East</t>
  </si>
  <si>
    <t>Saudi Pelican Logistics Solutions/WH/JUB/500PP</t>
  </si>
  <si>
    <t>Saudi Pelican Logistics Solutions</t>
  </si>
  <si>
    <t>⚠ Source Exp CY (154,000) ≠ ACV/12 implied (173,250) | Opp: Saudi Pelican Logistics Solutions/WH/JUB/500PP | Region: East</t>
  </si>
  <si>
    <t>Ravago/WH/JUB/1200PP</t>
  </si>
  <si>
    <t>Ravago Saudi Arabia</t>
  </si>
  <si>
    <t>Opp: Ravago/WH/JUB/1200PP | Region: East</t>
  </si>
  <si>
    <t>Tahakom/WH/JUB/15,000SQM Yard</t>
  </si>
  <si>
    <t>Tahakom</t>
  </si>
  <si>
    <t>West</t>
  </si>
  <si>
    <t>Opp: Tahakom/WH/JUB/15,000SQM Yard | Region: West</t>
  </si>
  <si>
    <t>JED Modon 3A</t>
  </si>
  <si>
    <t>Orient Provisions/WH/JED3A/3000PP</t>
  </si>
  <si>
    <t>Oriend Provisions</t>
  </si>
  <si>
    <t>Simon Reah</t>
  </si>
  <si>
    <t>Opp: Orient Provisions/WH/JED3A/3000PP | Region: West</t>
  </si>
  <si>
    <t>AL Nahdi/WH/JED3A/3000PP</t>
  </si>
  <si>
    <t>Al Nahdi</t>
  </si>
  <si>
    <t>⚠ Source Exp CY (1,080,000) ≠ ACV/12 implied (720,000) | Opp: AL Nahdi/WH/JED3A/3000PP | Region: West</t>
  </si>
  <si>
    <t>JamJoom/WH/JED3A/2000PP</t>
  </si>
  <si>
    <t>JamJoom</t>
  </si>
  <si>
    <t>Opp: JamJoom/WH/JED3A/2000PP | Region: West</t>
  </si>
  <si>
    <t>MED CITY PHARMA/WH/JED/800 PP</t>
  </si>
  <si>
    <t>Med City Pharma</t>
  </si>
  <si>
    <t>Amin AlHalabi</t>
  </si>
  <si>
    <t>Opp: MED CITY PHARMA/WH/JED/800 PP | Region: West</t>
  </si>
  <si>
    <t>Diwan/WH/JED3A/500PP</t>
  </si>
  <si>
    <t>Diwan Al Qahwa Trading Company</t>
  </si>
  <si>
    <t>Opp: Diwan/WH/JED3A/500PP | Region: West</t>
  </si>
  <si>
    <t>Tejoury/WH/JED3A/4495 SQM</t>
  </si>
  <si>
    <t>Tejoury</t>
  </si>
  <si>
    <t>Hano Oberholzer</t>
  </si>
  <si>
    <t>⚠ Source Exp CY (660,000) ≠ ACV/12 implied (2,200,000) | Opp: Tejoury/WH/JED3A/4495 SQM | Region: West</t>
  </si>
  <si>
    <t>JED Modon 3B</t>
  </si>
  <si>
    <t>United Carton/WH/JED3B/1400PP</t>
  </si>
  <si>
    <t>United Carton</t>
  </si>
  <si>
    <t>Opp: United Carton/WH/JED3B/1400PP | Region: West</t>
  </si>
  <si>
    <t>El Ajou Group/WH/JED3B/900PP</t>
  </si>
  <si>
    <t>Opp: El Ajou Group/WH/JED3B/900PP | Region: West</t>
  </si>
  <si>
    <t>Astra/WH/JED/250PP</t>
  </si>
  <si>
    <t>Astra Polymers</t>
  </si>
  <si>
    <t>Opp: Astra/WH/JED/250PP | Region: West</t>
  </si>
  <si>
    <t>Shuran Plastic/WH/JED3B/1500SQM</t>
  </si>
  <si>
    <t>Shuran Plastic</t>
  </si>
  <si>
    <t>Opp: Shuran Plastic/WH/JED3B/1500SQM | Region: West</t>
  </si>
  <si>
    <t>Solenis/WH/RUH/3000PP</t>
  </si>
  <si>
    <t>Solenis</t>
  </si>
  <si>
    <t>Central</t>
  </si>
  <si>
    <t>Opp: Solenis/WH/RUH/3000PP | Region: Central</t>
  </si>
  <si>
    <t>KN-Hample/WH/RUH/2,500PP</t>
  </si>
  <si>
    <t>Kuehne &amp; Nagel</t>
  </si>
  <si>
    <t>⚠ Source Exp CY (339,000) ≠ ACV/12 implied (1,017,000) | Opp: KN-Hample/WH/RUH/2,500PP | Region: Central</t>
  </si>
  <si>
    <t>United Carton/WH/RUH/1200PP</t>
  </si>
  <si>
    <t>Opp: United Carton/WH/RUH/1200PP | Region: Central</t>
  </si>
  <si>
    <t>KN/WH/RUH/ 5000SQM</t>
  </si>
  <si>
    <t>Opp: KN/WH/RUH/ 5000SQM | Region: Central</t>
  </si>
  <si>
    <t>KN/WH/RUH/150SQM</t>
  </si>
  <si>
    <t>Opp: KN/WH/RUH/150SQM | Region: Central</t>
  </si>
  <si>
    <t>Baxter/WH/RUH/2500PP</t>
  </si>
  <si>
    <t>Baxter</t>
  </si>
  <si>
    <t>⚠ Source Exp CY (1,155,000) ≠ ACV/12 implied (583,333) | Opp: Baxter/WH/RUH/2500PP | Region: Central</t>
  </si>
  <si>
    <t>AL Nahdi/WH/RUH/2000PP</t>
  </si>
  <si>
    <t>⚠ Source Exp CY (800,000) ≠ ACV/12 implied (533,333) | Opp: AL Nahdi/WH/RUH/2000PP | Region: Central</t>
  </si>
  <si>
    <t>HMH/CL/DMM/Expansion</t>
  </si>
  <si>
    <t>HMH</t>
  </si>
  <si>
    <t>⚠ Source Exp CY (661,111) ≠ ACV/12 implied (495,833) | Opp: HMH/CL/DMM/Expansion | Region: East</t>
  </si>
  <si>
    <t>SNB / Asset Verification</t>
  </si>
  <si>
    <t>Saudi National Bank</t>
  </si>
  <si>
    <t>⚠ Source Exp CY (2,257,584) ≠ ACV/12 implied (1,316,924) | Opp: SNB / Asset Verification | Region: West</t>
  </si>
  <si>
    <t>Closed Won — auto-pulled from Closed-won data Input row 3</t>
  </si>
  <si>
    <t>Closed Won — auto-pulled from Closed-won data Input row 4</t>
  </si>
  <si>
    <t>Closed Won — auto-pulled from Closed-won data Input row 5</t>
  </si>
  <si>
    <t>Closed Won — auto-pulled from Closed-won data Input row 6</t>
  </si>
  <si>
    <t>Closed Won — auto-pulled from Closed-won data Input row 7</t>
  </si>
  <si>
    <t>Closed Won — auto-pulled from Closed-won data Input row 8</t>
  </si>
  <si>
    <t>Closed Won — auto-pulled from Closed-won data Input row 9</t>
  </si>
  <si>
    <t>Closed Won — auto-pulled from Closed-won data Input row 10</t>
  </si>
  <si>
    <t>Closed Won — auto-pulled from Closed-won data Input row 11</t>
  </si>
  <si>
    <t>Closed Won — auto-pulled from Closed-won data Input row 12</t>
  </si>
  <si>
    <t>WAREHOUSE NAME MAPPING  —  raw CRM names (col A) → report labels (col B). Add rows here if new warehouse names appear in your CRM.</t>
  </si>
  <si>
    <t>Raw Name (CRM)</t>
  </si>
  <si>
    <t>Mapped Name (Report)</t>
  </si>
  <si>
    <t>DMM Port</t>
  </si>
  <si>
    <t>WAREHOUSE SNAPSHOT  —  paste the latest capacity dashboard here. Column A must use REPORT labels (e.g., 'Dammam Port', 'Jubail Total') so Section 4 finds them via VLOOKUP. Empty rows (Subcontractor, etc.) return 0 and are fine. Jubail tip: as soon as you fill Jubail 1 and Jubail 2 individually, Section 4 auto-switches to split mode and ignores the Jubail Total row.</t>
  </si>
  <si>
    <t>Warehouse (Report Label)</t>
  </si>
  <si>
    <t>Shortfall Capacity</t>
  </si>
  <si>
    <t>Definition</t>
  </si>
  <si>
    <t>Physical Rac locations</t>
  </si>
  <si>
    <t>Bin + Manual</t>
  </si>
  <si>
    <t>Physical + Floor + Manual</t>
  </si>
  <si>
    <t>Free to sell Now</t>
  </si>
  <si>
    <t>Min Commited per customer</t>
  </si>
  <si>
    <t>Unfilled commitment gap</t>
  </si>
  <si>
    <t>Dammam</t>
  </si>
  <si>
    <t>Jubail</t>
  </si>
  <si>
    <t>Jeddah</t>
  </si>
  <si>
    <t>Riyadh</t>
  </si>
  <si>
    <t>Jeddah (UWC/BDP-Hempel)</t>
  </si>
  <si>
    <t>All</t>
  </si>
  <si>
    <t>PSA-BDP (Closed Won)</t>
  </si>
  <si>
    <t>PSA-BDP</t>
  </si>
  <si>
    <t>🏗️  JUBAIL BREAKDOWN — by Chamber</t>
  </si>
  <si>
    <t>Facility</t>
  </si>
  <si>
    <t>Occupied</t>
  </si>
  <si>
    <t>Util %</t>
  </si>
  <si>
    <t>Sellable</t>
  </si>
  <si>
    <t>Committed</t>
  </si>
  <si>
    <t>Shortfall</t>
  </si>
  <si>
    <t xml:space="preserve">    ↳ CHM-01</t>
  </si>
  <si>
    <t xml:space="preserve">    ↳ CHM-02</t>
  </si>
  <si>
    <t xml:space="preserve">    ↳ FLO-02</t>
  </si>
  <si>
    <t>Jubail 2 (CHM-03)</t>
  </si>
  <si>
    <t>Jubail Total (Jub 1 + Jub 2)</t>
  </si>
  <si>
    <t>Methodology: chamber-summed math is now the source of truth. Total Locations &amp; Capacity tie cleanly to the system rollup (39,324 / 64,800). Occupied &amp; Sellable use chamber sums (21,847 / 42,953) — the system's Total view counts ~10,854 more pallets as Occupied that the chamber view classifies as Sellable. Committed (13,157) and Shortfall (10,498) are warehouse-level metrics — parked on Jubail 1's row so Row 30 sums correctly. Blocked (146) &amp; Virtual (144) likewise live on Jubail 1's row in the main snapshot table.</t>
  </si>
  <si>
    <t>P03</t>
  </si>
  <si>
    <t>Hala Supply Chain Services Co. Ltd</t>
  </si>
  <si>
    <t>Manament Accounts YTD P03 2026</t>
  </si>
  <si>
    <t>Profit and Loss</t>
  </si>
  <si>
    <t xml:space="preserve"> </t>
  </si>
  <si>
    <t>YTD P03 2026 Actual</t>
  </si>
  <si>
    <t>2026 Budget</t>
  </si>
  <si>
    <t>Prior Year 2025</t>
  </si>
  <si>
    <t>Codes</t>
  </si>
  <si>
    <t>Legacy</t>
  </si>
  <si>
    <t>Description</t>
  </si>
  <si>
    <t>P1 Act</t>
  </si>
  <si>
    <t>P2 Act</t>
  </si>
  <si>
    <t>P3 Act</t>
  </si>
  <si>
    <t>P4 Act</t>
  </si>
  <si>
    <t>P5 Act</t>
  </si>
  <si>
    <t>P6 Act</t>
  </si>
  <si>
    <t>P7 Act</t>
  </si>
  <si>
    <t>P8 Act</t>
  </si>
  <si>
    <t>P9 Act</t>
  </si>
  <si>
    <t>P10 Act</t>
  </si>
  <si>
    <t>P11 Act</t>
  </si>
  <si>
    <t>P12 Act</t>
  </si>
  <si>
    <t>Total</t>
  </si>
  <si>
    <t>P1 Bud</t>
  </si>
  <si>
    <t>P2 Bud</t>
  </si>
  <si>
    <t>P3 Bud</t>
  </si>
  <si>
    <t>P4 Bud</t>
  </si>
  <si>
    <t>P5 Bud</t>
  </si>
  <si>
    <t>P6 Bud</t>
  </si>
  <si>
    <t>P7 Bud</t>
  </si>
  <si>
    <t>P8 Bud</t>
  </si>
  <si>
    <t>P9 Bud</t>
  </si>
  <si>
    <t>P10 Bud</t>
  </si>
  <si>
    <t>P11 Bud</t>
  </si>
  <si>
    <t>P12 Bud</t>
  </si>
  <si>
    <t>Total
FINAL</t>
  </si>
  <si>
    <t>Net Revenue - Warehousing</t>
  </si>
  <si>
    <t>WH Revenue Growth%</t>
  </si>
  <si>
    <t>Existing Business</t>
  </si>
  <si>
    <t>New Business</t>
  </si>
  <si>
    <t>Revenue - Transportation</t>
  </si>
  <si>
    <t>TPT Revenue Growth%</t>
  </si>
  <si>
    <t>Total Net Revenue</t>
  </si>
  <si>
    <t>Net Revenue Growth%</t>
  </si>
  <si>
    <t>COR - Warehouse Rent WH</t>
  </si>
  <si>
    <t>COR - Outsourced Labour WH</t>
  </si>
  <si>
    <t>COR - Temporary Warehouse WH</t>
  </si>
  <si>
    <t>COR - Maintenance WH</t>
  </si>
  <si>
    <t>COR - Security Guards WH</t>
  </si>
  <si>
    <t>COR - Insurance PAR WH</t>
  </si>
  <si>
    <t>COR - Project Cost WH</t>
  </si>
  <si>
    <t>COR - Other Direct Cost WH</t>
  </si>
  <si>
    <t>COR - Accommodation rent WH</t>
  </si>
  <si>
    <t>Cost of Revenue - WH</t>
  </si>
  <si>
    <t>COR - 4PL Transporters TPT</t>
  </si>
  <si>
    <t>COR - Fleet Lease Rental TPT</t>
  </si>
  <si>
    <t>COR - Outsourced Labour TPT</t>
  </si>
  <si>
    <t>COR - Maintenance TPT</t>
  </si>
  <si>
    <t>COR - Insurance GIT TPT</t>
  </si>
  <si>
    <t>COR - Other Direct Cost TPT</t>
  </si>
  <si>
    <t>COR - Accommodation rent TPT</t>
  </si>
  <si>
    <t>Cost of Revenue - TPT</t>
  </si>
  <si>
    <t>COR - Warehouse Rent RS</t>
  </si>
  <si>
    <t>Net Tejoury revenue - cost</t>
  </si>
  <si>
    <t>COR - Transport RS</t>
  </si>
  <si>
    <t>COR - Maintenance RS</t>
  </si>
  <si>
    <t>COR - Security Guards RS</t>
  </si>
  <si>
    <t>COR - Other Direct Cost RS</t>
  </si>
  <si>
    <t>COR - Accommodation rent RS</t>
  </si>
  <si>
    <t>Cost of Revenue - RS</t>
  </si>
  <si>
    <t>Cost of Revenue - Total WH &amp; TPT</t>
  </si>
  <si>
    <t>Basic Salary WH</t>
  </si>
  <si>
    <t>Housing Allowance WH</t>
  </si>
  <si>
    <t>Transport Allowance WH</t>
  </si>
  <si>
    <t>Food Allowance WH</t>
  </si>
  <si>
    <t>Overtime WH</t>
  </si>
  <si>
    <t>Vacation tickets WH</t>
  </si>
  <si>
    <t>Vacation Pay WH</t>
  </si>
  <si>
    <t>GOSI - Social Insurance WH</t>
  </si>
  <si>
    <t>Medical expenses WH</t>
  </si>
  <si>
    <t>Bonus &amp; incentives WH</t>
  </si>
  <si>
    <t>Recruitment expenses WH</t>
  </si>
  <si>
    <t>Employees Terminal Benefits WH</t>
  </si>
  <si>
    <t>Schooling Fee WH</t>
  </si>
  <si>
    <t>Other - Personnel expenses WH</t>
  </si>
  <si>
    <t>Kilometer Allowance WH</t>
  </si>
  <si>
    <t>Govt fees (Iqama &amp; Visa) WH</t>
  </si>
  <si>
    <t>Salary Deduct for Vacation WH</t>
  </si>
  <si>
    <t>Personnel Cost - WH</t>
  </si>
  <si>
    <t>Basic Salary TPT</t>
  </si>
  <si>
    <t>Housing Allowance TPT</t>
  </si>
  <si>
    <t>Transport Allowance TPT</t>
  </si>
  <si>
    <t>Food Allowance TPT</t>
  </si>
  <si>
    <t>Overtime TPT</t>
  </si>
  <si>
    <t>Vacation tickets TPT</t>
  </si>
  <si>
    <t>Vacation Pay TPT</t>
  </si>
  <si>
    <t>GOSI - Social Insurance TPT</t>
  </si>
  <si>
    <t>Medical expenses TPT</t>
  </si>
  <si>
    <t>Bonus &amp; incentives TPT</t>
  </si>
  <si>
    <t>Recruitment expenses TPT</t>
  </si>
  <si>
    <t>Employees Terminal Benefits TPT</t>
  </si>
  <si>
    <t>Schooling Fee TPT</t>
  </si>
  <si>
    <t>Other - Personnel expenses TPT</t>
  </si>
  <si>
    <t>Kilometer Allowance TPT</t>
  </si>
  <si>
    <t>Govt fees (Iqama &amp; Visa) TPT</t>
  </si>
  <si>
    <t>Salary Deductions for Vacation TPT</t>
  </si>
  <si>
    <t>Personnel Cost - TPT</t>
  </si>
  <si>
    <t>Basic Salary RS</t>
  </si>
  <si>
    <t>Housing Allowance RS</t>
  </si>
  <si>
    <t>Transport Allowance RS</t>
  </si>
  <si>
    <t>Food Allowance RS</t>
  </si>
  <si>
    <t>Overtime RS</t>
  </si>
  <si>
    <t>Vacation tickets RS</t>
  </si>
  <si>
    <t>Vacation Pay RS</t>
  </si>
  <si>
    <t>GOSI - Social Insurance RS</t>
  </si>
  <si>
    <t>Medical expenses RS</t>
  </si>
  <si>
    <t>Bonus &amp; incentives &amp; RS</t>
  </si>
  <si>
    <t>Recruitment expenses RS</t>
  </si>
  <si>
    <t>Employees Terminal Benefits RS</t>
  </si>
  <si>
    <t>Schooling Fee RS</t>
  </si>
  <si>
    <t>Other - Personnel expenses RS</t>
  </si>
  <si>
    <t>Kilometer Allowance RS</t>
  </si>
  <si>
    <t>Govt fees (Iqama &amp; Visa) RS</t>
  </si>
  <si>
    <t>Salary Deductions for Vacation RS</t>
  </si>
  <si>
    <t>Personnel Cost - RS</t>
  </si>
  <si>
    <t>Personnel Cost - Total WH &amp; TPT</t>
  </si>
  <si>
    <t>Printing &amp; stationery WH</t>
  </si>
  <si>
    <t>Postage &amp; courier WH</t>
  </si>
  <si>
    <t>Uniform WH</t>
  </si>
  <si>
    <t>Kitchen supplies WH</t>
  </si>
  <si>
    <t>IT Supplies WH</t>
  </si>
  <si>
    <t>Business entertainment WH</t>
  </si>
  <si>
    <t>Consultancy charges WH</t>
  </si>
  <si>
    <t>Training WH</t>
  </si>
  <si>
    <t>General Cleaning &amp; washing WH</t>
  </si>
  <si>
    <t>Shrinkages &amp; Shortages WH</t>
  </si>
  <si>
    <t>Pallets &amp; Shrink Wraps WH</t>
  </si>
  <si>
    <t>Bad Debt Written Off WH</t>
  </si>
  <si>
    <t>Doubtful Debt Provision WH</t>
  </si>
  <si>
    <t>Telephone &amp; Fax exp WH</t>
  </si>
  <si>
    <t>Water expenses WH</t>
  </si>
  <si>
    <t>Electricity expenses WH</t>
  </si>
  <si>
    <t>Building maintenance WH</t>
  </si>
  <si>
    <t>Computer maintenance WH</t>
  </si>
  <si>
    <t>Software Maint. Fees WH</t>
  </si>
  <si>
    <t>Other maintenance WH</t>
  </si>
  <si>
    <t>Internet Service - ISP WH</t>
  </si>
  <si>
    <t>Gasoline expenses WH</t>
  </si>
  <si>
    <t>Diesel expenses WH</t>
  </si>
  <si>
    <t>Parking expenses WH</t>
  </si>
  <si>
    <t>Transportation expenses WH</t>
  </si>
  <si>
    <t>Traffic violation WH</t>
  </si>
  <si>
    <t>Vehicle registration - Istimara WH</t>
  </si>
  <si>
    <t>Vehicle repair &amp; maintenance WH</t>
  </si>
  <si>
    <t>Equipment rental WH</t>
  </si>
  <si>
    <t>MHE-  Rental WH</t>
  </si>
  <si>
    <t>Insurance - Vehicle WH</t>
  </si>
  <si>
    <t>Insurance - Fire &amp; Theft WH</t>
  </si>
  <si>
    <t>Subscription fees WH</t>
  </si>
  <si>
    <t>Licence Fees WH</t>
  </si>
  <si>
    <t>Audit fees WH</t>
  </si>
  <si>
    <t>Legal fees WH</t>
  </si>
  <si>
    <t>Other fees WH</t>
  </si>
  <si>
    <t>Office Rent WH</t>
  </si>
  <si>
    <t>Domestic Travel - Tickets WH</t>
  </si>
  <si>
    <t>Domestic Travel - Hotel WH</t>
  </si>
  <si>
    <t>Domestic Travel - Conveyance WH</t>
  </si>
  <si>
    <t>Domestic Travel - Allowance WH</t>
  </si>
  <si>
    <t>Domestic Travel - Other WH</t>
  </si>
  <si>
    <t>International Travel - Ticket WH</t>
  </si>
  <si>
    <t>International Travel - Hotel WH</t>
  </si>
  <si>
    <t>International Travel - Conveyance WH</t>
  </si>
  <si>
    <t>International Travel - Allowance WH</t>
  </si>
  <si>
    <t>International Travel - Other Exp WH</t>
  </si>
  <si>
    <t>Advertisement Cost - Media WH</t>
  </si>
  <si>
    <t>Promotional expense - WH</t>
  </si>
  <si>
    <t>Special Expense - WH (RS Cost Racking net of Tejoury</t>
  </si>
  <si>
    <t>Gifts &amp; Compliments - WH</t>
  </si>
  <si>
    <t>Adv &amp; Promo - Printing expenses WH</t>
  </si>
  <si>
    <t>Depreciation - Building WH</t>
  </si>
  <si>
    <t>Depreciation - Bldg &amp; Improvements WH</t>
  </si>
  <si>
    <t>Depreciation - Racking WH</t>
  </si>
  <si>
    <t>Depreciation Machinery and Equip WH</t>
  </si>
  <si>
    <t>Depreciation -MHE WH</t>
  </si>
  <si>
    <t>Depreciation - Furniture &amp; Fixtures WH</t>
  </si>
  <si>
    <t>Depreciation - Computers WH</t>
  </si>
  <si>
    <t>Depreciation - Motor vehicles WH</t>
  </si>
  <si>
    <t>Depreciation - Truck Fleet WH</t>
  </si>
  <si>
    <t>Depreciation - Office Equipment WH</t>
  </si>
  <si>
    <t>Depr - Security &amp; Safety Equipment WH</t>
  </si>
  <si>
    <t>Amortization - Computer Software WH</t>
  </si>
  <si>
    <t>Operating Cost - WH</t>
  </si>
  <si>
    <t>Printing &amp; stationery TPT</t>
  </si>
  <si>
    <t>Postage &amp; courier TPT</t>
  </si>
  <si>
    <t>Uniform TPT</t>
  </si>
  <si>
    <t>Kitchen supplies TPT</t>
  </si>
  <si>
    <t>IT Supplies TPT</t>
  </si>
  <si>
    <t>Business entertainment TPT</t>
  </si>
  <si>
    <t>Consultancy charges TPT</t>
  </si>
  <si>
    <t>Training TPT</t>
  </si>
  <si>
    <t>General Cleaning &amp; washing TPT</t>
  </si>
  <si>
    <t>General Expenses</t>
  </si>
  <si>
    <t>Shrinkages &amp; Shortages TPT</t>
  </si>
  <si>
    <t>Pallets &amp; Shrink Wraps TPT</t>
  </si>
  <si>
    <t>Bad Debt Written Off TPT</t>
  </si>
  <si>
    <t>Doubtful Debt Provision TPT</t>
  </si>
  <si>
    <t>Telephone &amp; Fax exp TPT</t>
  </si>
  <si>
    <t>Water expenses TPT</t>
  </si>
  <si>
    <t>Electricity expenses TPT</t>
  </si>
  <si>
    <t>Building maintenance TPT</t>
  </si>
  <si>
    <t>Computer maintenance TPT</t>
  </si>
  <si>
    <t>Software Maint. Fees TPT</t>
  </si>
  <si>
    <t>Other maintenance TPT</t>
  </si>
  <si>
    <t>Internet Service - ISP TPT</t>
  </si>
  <si>
    <t>Gasoline expenses TPT</t>
  </si>
  <si>
    <t>Diesel expenses TPT</t>
  </si>
  <si>
    <t>Parking expenses TPT</t>
  </si>
  <si>
    <t>Transportation expenses TPT</t>
  </si>
  <si>
    <t>Traffic violation TPT</t>
  </si>
  <si>
    <t>Vehicle registration - Istimara TPT</t>
  </si>
  <si>
    <t>Vehicle repair &amp; maintenance TPT</t>
  </si>
  <si>
    <t>Others - vehicle expenses TPT</t>
  </si>
  <si>
    <t>Equipment rental TPT</t>
  </si>
  <si>
    <t>MHE Rental TPT</t>
  </si>
  <si>
    <t>Insurance premium - vehicle TPT</t>
  </si>
  <si>
    <t>Insurance premium - Fire &amp; theft TPT</t>
  </si>
  <si>
    <t>Subscription fees TPT</t>
  </si>
  <si>
    <t>Licence Fees TPT</t>
  </si>
  <si>
    <t>Audit fees TPT</t>
  </si>
  <si>
    <t>Legal fees (Lawyer, Chamber) TPT</t>
  </si>
  <si>
    <t>Other fees TPT</t>
  </si>
  <si>
    <t>Office Rent expenses TPT</t>
  </si>
  <si>
    <t>Domestic Travel-Tickets TPT</t>
  </si>
  <si>
    <t>Domestic Travel-Hotel TPT</t>
  </si>
  <si>
    <t>Domestic Travel-Conveyance TPT</t>
  </si>
  <si>
    <t>Domestic Travel-Allowance TPT</t>
  </si>
  <si>
    <t>Domestic Travel Other TPT</t>
  </si>
  <si>
    <t>Overseas Travel-Ticket TPT</t>
  </si>
  <si>
    <t>Overseas Travel-Hotel TPT</t>
  </si>
  <si>
    <t>Overseas Travel-Conveyance TPT</t>
  </si>
  <si>
    <t>Overseas Travel-Allowance TPT</t>
  </si>
  <si>
    <t>Overseas Travel-Other Exp TPT</t>
  </si>
  <si>
    <t>Advertisement Cost-Media TPT</t>
  </si>
  <si>
    <t>Promotional expense TPT</t>
  </si>
  <si>
    <t>Special Business Expense TPT</t>
  </si>
  <si>
    <t>Gifts &amp; Compliments TPT</t>
  </si>
  <si>
    <t>Adv &amp; Prom - Printing expenses TPT</t>
  </si>
  <si>
    <t>Depreciation - Building TPT</t>
  </si>
  <si>
    <t>Depreciation - Bldg &amp; Bldg improvements TPT</t>
  </si>
  <si>
    <t>Depreciation - Racking TPT</t>
  </si>
  <si>
    <t>Depr Machinery and Equipment TPT</t>
  </si>
  <si>
    <t>Depreciation -MaHE TPT</t>
  </si>
  <si>
    <t>Depreciation - Furniture &amp; Fixtures TPT</t>
  </si>
  <si>
    <t>Depreciation - Computers TPT</t>
  </si>
  <si>
    <t>Depreciation - Motor vehicles TPT</t>
  </si>
  <si>
    <t>Depreciation - Truck Fleet TPT</t>
  </si>
  <si>
    <t>Depreciation - Office Equipment TPT</t>
  </si>
  <si>
    <t>Depr - Security &amp; Safety Equipment TPT</t>
  </si>
  <si>
    <t>Amortization - Computer Software TPT</t>
  </si>
  <si>
    <t>Operating Cost - TPT</t>
  </si>
  <si>
    <t>Printing &amp; stationery RS</t>
  </si>
  <si>
    <t>Postage &amp; courier RS</t>
  </si>
  <si>
    <t>Uniform RS</t>
  </si>
  <si>
    <t>Kitchen supplies RS</t>
  </si>
  <si>
    <t>Business entertainment RS</t>
  </si>
  <si>
    <t>Consultancy charges RS</t>
  </si>
  <si>
    <t>Training RS</t>
  </si>
  <si>
    <t>General Cleaning &amp; washing RS</t>
  </si>
  <si>
    <t>Shrinkages &amp; Shortages RS</t>
  </si>
  <si>
    <t>Pallets &amp; Shrink Wraps RS</t>
  </si>
  <si>
    <t>Bad Debt Written Off RS</t>
  </si>
  <si>
    <t>Doubtful Debt Provision RS</t>
  </si>
  <si>
    <t>Telephone &amp; Fax exp RS</t>
  </si>
  <si>
    <t>Water expenses RS</t>
  </si>
  <si>
    <t>Electricity expenses RS</t>
  </si>
  <si>
    <t>Building maintenance RS</t>
  </si>
  <si>
    <t>Computer maintenance RS</t>
  </si>
  <si>
    <t>Software Maint. Fees RS</t>
  </si>
  <si>
    <t>Other maintenance RS</t>
  </si>
  <si>
    <t>Internet Service - ISP RS</t>
  </si>
  <si>
    <t>Gasoline expenses RS</t>
  </si>
  <si>
    <t>Diesel expenses RS</t>
  </si>
  <si>
    <t>Parking expenses RS</t>
  </si>
  <si>
    <t>Transportation expenses RS</t>
  </si>
  <si>
    <t>Traffic violation RS</t>
  </si>
  <si>
    <t>Vehicle registration - Istimara RS</t>
  </si>
  <si>
    <t>Vehicle repair &amp; maintenance RS</t>
  </si>
  <si>
    <t>Others - vehicle expenses RS</t>
  </si>
  <si>
    <t>Equipment rental RS</t>
  </si>
  <si>
    <t>MHE Rental RS</t>
  </si>
  <si>
    <t>Insurance premium - vehicle RS</t>
  </si>
  <si>
    <t>Insurance premium - Fire &amp; theft RS</t>
  </si>
  <si>
    <t>Subscription fees RS</t>
  </si>
  <si>
    <t>Audit fees RS</t>
  </si>
  <si>
    <t>Legal fees (Lawyer, Chamber) RS</t>
  </si>
  <si>
    <t>Other fees RS</t>
  </si>
  <si>
    <t>Office Rent expenses RS</t>
  </si>
  <si>
    <t>Domestic Travel-Tickets RS</t>
  </si>
  <si>
    <t>Domestic Travel-Hotel RS</t>
  </si>
  <si>
    <t>Domestic Travel-Conveyance RS</t>
  </si>
  <si>
    <t>Domestic Travel-Allowance RS</t>
  </si>
  <si>
    <t>Domestic Travel Other RS</t>
  </si>
  <si>
    <t>Overseas Travel-Ticket RS</t>
  </si>
  <si>
    <t>Overseas Travel-Hotel RS</t>
  </si>
  <si>
    <t>Overseas Travel-Conveyance RS</t>
  </si>
  <si>
    <t>Overseas Travel-Allowance RS</t>
  </si>
  <si>
    <t>Overseas Travel-Other Exp RS</t>
  </si>
  <si>
    <t>Advertisement Cost-Media RS</t>
  </si>
  <si>
    <t>Promotional expense RS</t>
  </si>
  <si>
    <t>Special Business Expense RS</t>
  </si>
  <si>
    <t>Gifts &amp; Compliments RS</t>
  </si>
  <si>
    <t>Adv &amp; Promo - Printing expenses RS</t>
  </si>
  <si>
    <t>Depreciation - Building RS</t>
  </si>
  <si>
    <t>Depreciation - Bldg &amp; Bldg improvements RS</t>
  </si>
  <si>
    <t>Depreciation - Racking RS</t>
  </si>
  <si>
    <t>Depr Machinery and Equipment RS</t>
  </si>
  <si>
    <t>Depreciation -MHE RS</t>
  </si>
  <si>
    <t>Depreciation - Furniture &amp; Fixtures RS</t>
  </si>
  <si>
    <t>Depreciation - Computers RS</t>
  </si>
  <si>
    <t>Depreciation - Motor vehicles RS</t>
  </si>
  <si>
    <t>Depreciation - Truck Fleet RS</t>
  </si>
  <si>
    <t>Depreciation - Office Equipment RS</t>
  </si>
  <si>
    <t>Depr - Security &amp; Safety Equipment RS</t>
  </si>
  <si>
    <t>Amortization - Computer Software RS</t>
  </si>
  <si>
    <t>Operating Cost - RS</t>
  </si>
  <si>
    <t>Operating Cost - WH &amp; TPT</t>
  </si>
  <si>
    <t>Cost of Revenue</t>
  </si>
  <si>
    <t>Cost of Revenue % Revenue</t>
  </si>
  <si>
    <t>Personnel Cost</t>
  </si>
  <si>
    <t>Personnel Cost % Revenue</t>
  </si>
  <si>
    <t>Operating Cost</t>
  </si>
  <si>
    <t>Total Direct Cost</t>
  </si>
  <si>
    <t>Total Direct Cost % Revenue</t>
  </si>
  <si>
    <t>Direct Cost - WH</t>
  </si>
  <si>
    <t>Direct Cost - WH % Revenue</t>
  </si>
  <si>
    <t>Direct Cost - TPT</t>
  </si>
  <si>
    <t>Direct Cost - TPT % Revenue</t>
  </si>
  <si>
    <t>Gross Profit - WH</t>
  </si>
  <si>
    <t>Gross Profit - TPT</t>
  </si>
  <si>
    <t>Gross Profit</t>
  </si>
  <si>
    <t>GP % - WH</t>
  </si>
  <si>
    <t>GP % - TPT</t>
  </si>
  <si>
    <t>GP %</t>
  </si>
  <si>
    <t>Commercial</t>
  </si>
  <si>
    <t>ZATCA Project cost</t>
  </si>
  <si>
    <t>Selling Expenses</t>
  </si>
  <si>
    <t>MD Office</t>
  </si>
  <si>
    <t>HR</t>
  </si>
  <si>
    <t>FIN</t>
  </si>
  <si>
    <t>ICT</t>
  </si>
  <si>
    <t>G&amp;A Other</t>
  </si>
  <si>
    <t>General &amp; Admin expenses</t>
  </si>
  <si>
    <t>Total SG&amp;A</t>
  </si>
  <si>
    <t>Operating Income - EBIT</t>
  </si>
  <si>
    <t>Operating Income - EBIT %</t>
  </si>
  <si>
    <t>Add back Depreciation</t>
  </si>
  <si>
    <t>EBITDA</t>
  </si>
  <si>
    <t>EBITDA %</t>
  </si>
  <si>
    <t>Bank charges</t>
  </si>
  <si>
    <t>Guarantee margin commission</t>
  </si>
  <si>
    <t>Exchange Losses</t>
  </si>
  <si>
    <t>BSF Management Fee</t>
  </si>
  <si>
    <t>Finance Charges (Interest)</t>
  </si>
  <si>
    <t>Finance charges</t>
  </si>
  <si>
    <t>Zakat</t>
  </si>
  <si>
    <t>NOPAT before Associated Co</t>
  </si>
  <si>
    <t>NOPAT before Associated Co %</t>
  </si>
  <si>
    <t>NP from Discontinued Operations</t>
  </si>
  <si>
    <t>Profit on Sale of RS contracts</t>
  </si>
  <si>
    <t>Other Income</t>
  </si>
  <si>
    <t>Share of Profit from Associated Co.</t>
  </si>
  <si>
    <t>IFRS GAP analysis adjustment</t>
  </si>
  <si>
    <t>Net Share of Profit from Associated Co.</t>
  </si>
  <si>
    <t>Consolidated Net Profit</t>
  </si>
  <si>
    <t>Consolidated Net Profit %</t>
  </si>
  <si>
    <t>CLOSED-WON DATA  —  paste YTD closed-won deals into rows 3+ (warehouse, account, ACV, go-live, etc.). Used by the main report to track booked revenue.</t>
  </si>
  <si>
    <t>Account Name</t>
  </si>
  <si>
    <t>Volume (Pallets)</t>
  </si>
  <si>
    <t>Volume (SQM)</t>
  </si>
  <si>
    <t>Expected Revenue (CY)</t>
  </si>
  <si>
    <t xml:space="preserve">Estimated Rate per pallet </t>
  </si>
  <si>
    <t>SAUDI CARBONATE COMPANY</t>
  </si>
  <si>
    <t>Yazan  Darwish</t>
  </si>
  <si>
    <t>MEBCo (Clarios)</t>
  </si>
  <si>
    <t>Rawabi Electric</t>
  </si>
  <si>
    <t>Dorfketal</t>
  </si>
  <si>
    <t>Rising Future</t>
  </si>
  <si>
    <t>Maaden</t>
  </si>
  <si>
    <t>Sharbatly Fruit Company</t>
  </si>
  <si>
    <t>Tasnee</t>
  </si>
  <si>
    <t>Transportatoin</t>
  </si>
  <si>
    <t>Arabian Trading Supplies</t>
  </si>
  <si>
    <t>HALA SUPPLY CHAIN SERVICES CO. LLC</t>
  </si>
  <si>
    <t>Summary of All Units</t>
  </si>
  <si>
    <t>For the Four Months Ending 30 April 2026</t>
  </si>
  <si>
    <t>GL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</si>
  <si>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</si>
  <si>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</si>
  <si>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</si>
  <si>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</si>
  <si>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</si>
  <si>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</si>
  <si>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</si>
  <si>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</si>
  <si>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</si>
  <si>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</si>
  <si>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</si>
  <si>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</si>
  <si>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</si>
  <si>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401120:401122</t>
  </si>
  <si>
    <t>Operating revenue - Warehousing</t>
  </si>
  <si>
    <t>401120:401122-CUS-143143</t>
  </si>
  <si>
    <t>Hellmann Saudi Arabi LLC</t>
  </si>
  <si>
    <t>401120:401122-CUS-143156</t>
  </si>
  <si>
    <t>Akzo Nobel Saudi Arabia Ltd</t>
  </si>
  <si>
    <t>401120:401122-CUS-143216</t>
  </si>
  <si>
    <t>Wahah Electric Supply Co. of Saudi Arabia</t>
  </si>
  <si>
    <t>401120:401122-CUS-143217</t>
  </si>
  <si>
    <t>Cold Stores Group of Saudi Arabia</t>
  </si>
  <si>
    <t>401120:401122-CUS-143265</t>
  </si>
  <si>
    <t>Al Jeel Medical &amp; Trading Co. Ltd.</t>
  </si>
  <si>
    <t>401120:401122-CUS-143270</t>
  </si>
  <si>
    <t>Sahara International petrochemical Company-(SIPCHEM)</t>
  </si>
  <si>
    <t>401120:401122-CUS-143293</t>
  </si>
  <si>
    <t>Middle East Battery Company</t>
  </si>
  <si>
    <t>401120:401122-CUS-143295</t>
  </si>
  <si>
    <t>Saudi Basic Industries Corporation (SABIC)</t>
  </si>
  <si>
    <t>401120:401122-CUS-143313</t>
  </si>
  <si>
    <t>Schlumberger Middle East S.A.</t>
  </si>
  <si>
    <t>401120:401122-CUS-143319</t>
  </si>
  <si>
    <t>Arkema Chemicals Saudi Arabia</t>
  </si>
  <si>
    <t>401120:401122-CUS-143330</t>
  </si>
  <si>
    <t>Baxter Company Limited</t>
  </si>
  <si>
    <t>401120:401122-CUS-143429</t>
  </si>
  <si>
    <t>Saudi Technology and Security Comprehensive Control Co . LTD</t>
  </si>
  <si>
    <t>401120:401122-CUS-143444</t>
  </si>
  <si>
    <t>Linxon Saudi Arabia Co. Ltd</t>
  </si>
  <si>
    <t>401120:401122-CUS-143471</t>
  </si>
  <si>
    <t>Saudi Renal Services Company Ltd.</t>
  </si>
  <si>
    <t>401120:401122-CUS-143472</t>
  </si>
  <si>
    <t>Redachem United For Trading Company  Limited</t>
  </si>
  <si>
    <t>401120:401122-CUS-143521</t>
  </si>
  <si>
    <t>VEOLIA Water Technologies</t>
  </si>
  <si>
    <t>401120:401122-CUS-143561</t>
  </si>
  <si>
    <t>Diversey Saudi Arabia Limited Company</t>
  </si>
  <si>
    <t>401120:401122-CUS-143570</t>
  </si>
  <si>
    <t>MA'ADEN PHOSPHATE COMPANY- MPC</t>
  </si>
  <si>
    <t>401120:401122-CUS-143579</t>
  </si>
  <si>
    <t>Nahdi Medical Company</t>
  </si>
  <si>
    <t>401120:401122-CUS-143592</t>
  </si>
  <si>
    <t>AATCO Food Industries LLC</t>
  </si>
  <si>
    <t>401120:401122-CUS-143596</t>
  </si>
  <si>
    <t>401120:401122-CUS-143601</t>
  </si>
  <si>
    <t>Trio Electric Company</t>
  </si>
  <si>
    <t>401120:401122-CUS-143602</t>
  </si>
  <si>
    <t>AL Dawaa Pharmaceutical Industries Factory</t>
  </si>
  <si>
    <t>401120:401122-CUS-143605</t>
  </si>
  <si>
    <t>Saudi Basic Industries Corporation (SABIC IBN SINA)</t>
  </si>
  <si>
    <t>401120:401122-CUS-143627</t>
  </si>
  <si>
    <t>DHL Global Forwarding</t>
  </si>
  <si>
    <t>401120:401122-CUS-143649</t>
  </si>
  <si>
    <t>ALTEK CO</t>
  </si>
  <si>
    <t>401120:401122-CUS-143670</t>
  </si>
  <si>
    <t>Elite Warehouses for E-Marketing</t>
  </si>
  <si>
    <t>401120:401122-CUS-143673</t>
  </si>
  <si>
    <t>Basamh Trading Co. Ltd.</t>
  </si>
  <si>
    <t>401120:401122-CUS-143674</t>
  </si>
  <si>
    <t>The Saudi Co. of Chemical Trading Ltd.</t>
  </si>
  <si>
    <t>401120:401122-CUS-143675</t>
  </si>
  <si>
    <t>Aneeb Industrial Services Co. Ltd.</t>
  </si>
  <si>
    <t>401120:401122-CUS-143677</t>
  </si>
  <si>
    <t>Saudi Multichem Trading Company</t>
  </si>
  <si>
    <t>401120:401122-CUS-143678</t>
  </si>
  <si>
    <t>Hydrill Pressure controlling Arabia limited</t>
  </si>
  <si>
    <t>401120:401122-CUS-143681</t>
  </si>
  <si>
    <t>Synthomer Middle East. Co</t>
  </si>
  <si>
    <t>401120:401122-CUS-143685</t>
  </si>
  <si>
    <t>Logistics Plus LLC</t>
  </si>
  <si>
    <t>401120:401122-CUS-143687</t>
  </si>
  <si>
    <t>Rezayat Water Services</t>
  </si>
  <si>
    <t>401120:401122-CUS-143688</t>
  </si>
  <si>
    <t>Saudi energies International Trading Est.</t>
  </si>
  <si>
    <t>401120:401122-“CUS-143013</t>
  </si>
  <si>
    <t>401120:401122-CUS-143696</t>
  </si>
  <si>
    <t>Goodpack Middle East Co. Ltd.</t>
  </si>
  <si>
    <t>401120:401122-CUS-143698</t>
  </si>
  <si>
    <t>Wosool Transport &amp; Logistics Co. (“Wosool”)</t>
  </si>
  <si>
    <t>401120:401122-CUS-143699</t>
  </si>
  <si>
    <t>MORPHO SAUDI ARABIA COMPANY LIMITED</t>
  </si>
  <si>
    <t>401120:401122-CUS-143700</t>
  </si>
  <si>
    <t>BDP International Logistic Services Co.</t>
  </si>
  <si>
    <t>401120:401122-CUS-143701</t>
  </si>
  <si>
    <t>Sanabel United Trading Co</t>
  </si>
  <si>
    <t>401120:401122-CUS-143702</t>
  </si>
  <si>
    <t>Saint-Gobain Trading</t>
  </si>
  <si>
    <t>401120:401122-CUS-143705</t>
  </si>
  <si>
    <t>Waleed Suleiman Al-Murshid Trading Company</t>
  </si>
  <si>
    <t>401120:401122-CUS-143706</t>
  </si>
  <si>
    <t>The Arab Company for Metals and Chemicals</t>
  </si>
  <si>
    <t>401120:401122-CUS-143710</t>
  </si>
  <si>
    <t>New East General Trading Company LLC</t>
  </si>
  <si>
    <t>401120:401122-CUS-143715</t>
  </si>
  <si>
    <t>Star Links Co</t>
  </si>
  <si>
    <t>401120:401122-CUS-143708</t>
  </si>
  <si>
    <t>401120:401122-CUS-143712</t>
  </si>
  <si>
    <t>Al Waha International Trading Company(MCFT)</t>
  </si>
  <si>
    <t>401120:401122-CUS-143720</t>
  </si>
  <si>
    <t>Dhamen Technology Group for Chemicals</t>
  </si>
  <si>
    <t>401120:401122-CUS-143721</t>
  </si>
  <si>
    <t>Seara Arabia Food Industrial Company</t>
  </si>
  <si>
    <t>401120:401122-CUS-143723</t>
  </si>
  <si>
    <t>Rawabi Electrical Co.</t>
  </si>
  <si>
    <t>401120:401122-CUS-143724</t>
  </si>
  <si>
    <t>Trans Freight Projects and Logistics</t>
  </si>
  <si>
    <t>401120:401122-CUS-143725</t>
  </si>
  <si>
    <t>Rising Future Co</t>
  </si>
  <si>
    <t>401120:401122-CUS-143726</t>
  </si>
  <si>
    <t>Ajil Al Hulul</t>
  </si>
  <si>
    <t>401120:401122-CUS-143728</t>
  </si>
  <si>
    <t>Sharbatly</t>
  </si>
  <si>
    <t>Total Revenue</t>
  </si>
  <si>
    <t xml:space="preserve">Total </t>
  </si>
  <si>
    <t>Revenue</t>
  </si>
  <si>
    <t>P&amp;L Actuals of Previous Month</t>
  </si>
  <si>
    <t>Organic Known Growth</t>
  </si>
  <si>
    <t>New Business Growth</t>
  </si>
  <si>
    <t xml:space="preserve">Pipeline </t>
  </si>
  <si>
    <t>Budget Target</t>
  </si>
  <si>
    <t>Delta</t>
  </si>
  <si>
    <t>GP</t>
  </si>
  <si>
    <t>Actuals</t>
  </si>
  <si>
    <t>Budget</t>
  </si>
  <si>
    <t>Pallet Positions - Total - Available Still</t>
  </si>
  <si>
    <t>Rate</t>
  </si>
  <si>
    <t xml:space="preserve">Revenue Loss </t>
  </si>
  <si>
    <t>Total Locations (Physical Rac locations)</t>
  </si>
  <si>
    <t>Total Capacity       (Bin + Manual )</t>
  </si>
  <si>
    <t>Occupied Capacity                  ( Physical + Floor + Manual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</si>
</sst>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#,##0,,\M;[Red]\(#,##0,,&quot;M)&quot;"/>
    <numFmt numFmtId="165" formatCode="#,##0;[Red]\(#,##0\);\-"/>
    <numFmt numFmtId="166" formatCode="0.0%"/>
    <numFmt numFmtId="167" formatCode="dd\-mmm\-yy"/>
    <numFmt numFmtId="168" formatCode="0.0%;[Red]\(0.0%\);\-"/>
    <numFmt numFmtId="169" formatCode="_-* #,##0_-;[Red]\(#,##0\);_-* \-_-;_-@_-"/>
    <numFmt numFmtId="170" formatCode="_(* #,##0_);_(* \(#,##0\);_(* \-??_);_(@_)"/>
    <numFmt numFmtId="171" formatCode="#,##0;\(#,##0\);\-"/>
    <numFmt numFmtId="172" formatCode="0.0%;\-0.0%;\-"/>
    <numFmt numFmtId="173" formatCode="#,##0;\(#,##0\)"/>
    <numFmt numFmtId="174" formatCode="_-* #,##0_-;\-* #,##0_-;_-* \-??_-;_-@_-"/>
    <numFmt numFmtId="175" formatCode="mmm\-yy"/>
    <numFmt numFmtId="176" formatCode="#,##0.00;\(#,##0.00\)"/>
    <numFmt numFmtId="177" formatCode="_-* #,##0.00_-;\-* #,##0.00_-;_-* \-??_-;_-@_-"/>
    <numFmt numFmtId="178" formatCode="_(* #,##0.00_);_(* \(#,##0.00\);_(* \-??_);_(@_)"/>
    <numFmt numFmtId="179" formatCode="0%;[Red]\(0%\);\-"/>
    <numFmt numFmtId="180" formatCode="\ _-* #,##0_-;[Red]\-#,##0;_-* \-_-;_-@_-"/>
    <numFmt numFmtId="183" formatCode="_(* #,##0_);_(* \(#,##0\);_(* &quot;-&quot;??_);_(@_)"/>
  </numFmts>
  <fonts count="54">
    <font>
      <sz val="11"/>
      <color theme="1"/>
      <name val="Calibri"/>
      <family val="2"/>
      <charset val="1"/>
    </font>
    <font>
      <b/>
      <sz val="24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28"/>
      <color rgb="FF1E2761"/>
      <name val="Calibri"/>
      <family val="2"/>
      <charset val="1"/>
    </font>
    <font>
      <i/>
      <sz val="9"/>
      <color rgb="FF555555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1E2761"/>
      <name val="Calibri"/>
      <family val="2"/>
      <charset val="1"/>
    </font>
    <font>
      <i/>
      <sz val="9"/>
      <color rgb="FF666666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1"/>
      <name val="Arial"/>
      <family val="2"/>
      <charset val="1"/>
    </font>
    <font>
      <sz val="11"/>
      <color rgb="FF0000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name val="Arial"/>
      <family val="2"/>
      <charset val="1"/>
    </font>
    <font>
      <sz val="10"/>
      <color rgb="FF375623"/>
      <name val="Arial"/>
      <family val="2"/>
      <charset val="1"/>
    </font>
    <font>
      <i/>
      <sz val="9"/>
      <color rgb="FF666666"/>
      <name val="Alial"/>
      <charset val="1"/>
    </font>
    <font>
      <b/>
      <sz val="11"/>
      <color rgb="FFFFFFFF"/>
      <name val="Alial"/>
      <charset val="1"/>
    </font>
    <font>
      <b/>
      <i/>
      <sz val="10"/>
      <color rgb="FF8B4513"/>
      <name val="Alial"/>
      <charset val="1"/>
    </font>
    <font>
      <sz val="10"/>
      <name val="Alial"/>
      <charset val="1"/>
    </font>
    <font>
      <b/>
      <sz val="11"/>
      <name val="Alial"/>
      <charset val="1"/>
    </font>
    <font>
      <b/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b/>
      <sz val="10"/>
      <color rgb="FF1E2761"/>
      <name val="Calibri"/>
      <family val="2"/>
    </font>
    <font>
      <b/>
      <sz val="10"/>
      <color rgb="FF000000"/>
      <name val="Calibri"/>
      <family val="2"/>
    </font>
    <font>
      <sz val="10"/>
      <color rgb="FF555555"/>
      <name val="Calibri"/>
      <family val="2"/>
    </font>
    <font>
      <i/>
      <sz val="9"/>
      <color rgb="FF666666"/>
      <name val="Calibri"/>
      <family val="2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i/>
      <sz val="10"/>
      <color theme="0"/>
      <name val="Calibri"/>
      <family val="2"/>
      <charset val="1"/>
    </font>
    <font>
      <b/>
      <i/>
      <sz val="10"/>
      <name val="Calibri"/>
      <family val="2"/>
      <charset val="1"/>
    </font>
    <font>
      <i/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i/>
      <sz val="10"/>
      <color theme="0"/>
      <name val="Calibri"/>
      <family val="2"/>
      <charset val="1"/>
    </font>
    <font>
      <sz val="10"/>
      <color theme="2" tint="-0.499984740745262"/>
      <name val="Calibri"/>
      <family val="2"/>
      <charset val="1"/>
    </font>
    <font>
      <b/>
      <sz val="10"/>
      <color theme="2" tint="-0.499984740745262"/>
      <name val="Calibri"/>
      <family val="2"/>
      <charset val="1"/>
    </font>
    <font>
      <i/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8.25"/>
      <color rgb="FF000000"/>
      <name val="Microsoft Sans Serif"/>
      <family val="2"/>
      <charset val="1"/>
    </font>
    <font>
      <b/>
      <sz val="8.25"/>
      <color rgb="FF000000"/>
      <name val="Microsoft Sans Serif"/>
      <family val="2"/>
      <charset val="1"/>
    </font>
    <font>
      <b/>
      <sz val="11"/>
      <color theme="0"/>
      <name val="Calibri"/>
      <family val="2"/>
      <charset val="1"/>
    </font>
    <font>
      <sz val="10"/>
      <color rgb="FF0000FF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charset val="1"/>
    </font>
  </fonts>
  <fills count="54">
    <fill>
      <patternFill patternType="none"/>
    </fill>
    <fill>
      <patternFill patternType="gray125"/>
    </fill>
    <fill>
      <patternFill patternType="solid">
        <fgColor rgb="FF1E2761"/>
        <bgColor rgb="FF1F3864"/>
      </patternFill>
    </fill>
    <fill>
      <patternFill patternType="solid">
        <fgColor rgb="FF548235"/>
        <bgColor rgb="FF636363"/>
      </patternFill>
    </fill>
    <fill>
      <patternFill patternType="solid">
        <fgColor rgb="FFFFC000"/>
        <bgColor rgb="FFFFFF00"/>
      </patternFill>
    </fill>
    <fill>
      <patternFill patternType="solid">
        <fgColor rgb="FFC00000"/>
        <bgColor rgb="FFEE0000"/>
      </patternFill>
    </fill>
    <fill>
      <patternFill patternType="solid">
        <fgColor rgb="FFCADCFC"/>
        <bgColor rgb="FFBDD7EE"/>
      </patternFill>
    </fill>
    <fill>
      <patternFill patternType="solid">
        <fgColor rgb="FFF2F2F2"/>
        <bgColor rgb="FFF2F4F8"/>
      </patternFill>
    </fill>
    <fill>
      <patternFill patternType="solid">
        <fgColor rgb="FFED7D31"/>
        <bgColor rgb="FF948A54"/>
      </patternFill>
    </fill>
    <fill>
      <patternFill patternType="solid">
        <fgColor rgb="FF305496"/>
        <bgColor rgb="FF1F4E78"/>
      </patternFill>
    </fill>
    <fill>
      <patternFill patternType="solid">
        <fgColor rgb="FFFFFFFF"/>
        <bgColor rgb="FFF2F4F8"/>
      </patternFill>
    </fill>
    <fill>
      <patternFill patternType="solid">
        <fgColor rgb="FF70AD47"/>
        <bgColor rgb="FF92D050"/>
      </patternFill>
    </fill>
    <fill>
      <patternFill patternType="solid">
        <fgColor rgb="FF1F4E78"/>
        <bgColor rgb="FF305496"/>
      </patternFill>
    </fill>
    <fill>
      <patternFill patternType="solid">
        <fgColor rgb="FF808080"/>
        <bgColor rgb="FF948A54"/>
      </patternFill>
    </fill>
    <fill>
      <patternFill patternType="solid">
        <fgColor rgb="FFD9E1F2"/>
        <bgColor rgb="FFDCE6F2"/>
      </patternFill>
    </fill>
    <fill>
      <patternFill patternType="solid">
        <fgColor rgb="FFFFF2CC"/>
        <bgColor rgb="FFFFF4D6"/>
      </patternFill>
    </fill>
    <fill>
      <patternFill patternType="solid">
        <fgColor rgb="FF2E75B6"/>
        <bgColor rgb="FF0070C0"/>
      </patternFill>
    </fill>
    <fill>
      <patternFill patternType="darkGray">
        <fgColor rgb="FF5596D2"/>
        <bgColor rgb="FF54A4CC"/>
      </patternFill>
    </fill>
    <fill>
      <patternFill patternType="solid">
        <fgColor rgb="FFFFE699"/>
        <bgColor rgb="FFFCD5B5"/>
      </patternFill>
    </fill>
    <fill>
      <patternFill patternType="solid">
        <fgColor rgb="FFFFFF00"/>
        <bgColor rgb="FFFFC000"/>
      </patternFill>
    </fill>
    <fill>
      <patternFill patternType="solid">
        <fgColor rgb="FFBDD7EE"/>
        <bgColor rgb="FFB7DEE8"/>
      </patternFill>
    </fill>
    <fill>
      <patternFill patternType="solid">
        <fgColor rgb="FF8FAADC"/>
        <bgColor rgb="FF8DB4E3"/>
      </patternFill>
    </fill>
    <fill>
      <patternFill patternType="solid">
        <fgColor theme="7" tint="0.79979857783745845"/>
        <bgColor rgb="FFDCE6F2"/>
      </patternFill>
    </fill>
    <fill>
      <patternFill patternType="solid">
        <fgColor theme="8" tint="0.59968871120334488"/>
        <bgColor rgb="FFBDD7EE"/>
      </patternFill>
    </fill>
    <fill>
      <patternFill patternType="solid">
        <fgColor theme="4" tint="0.79979857783745845"/>
        <bgColor rgb="FFD9E1F2"/>
      </patternFill>
    </fill>
    <fill>
      <patternFill patternType="solid">
        <fgColor theme="7" tint="0.59968871120334488"/>
        <bgColor rgb="FFCCCCCC"/>
      </patternFill>
    </fill>
    <fill>
      <patternFill patternType="solid">
        <fgColor rgb="FFFCE4D6"/>
        <bgColor rgb="FFFDEADA"/>
      </patternFill>
    </fill>
    <fill>
      <patternFill patternType="solid">
        <fgColor rgb="FF1F3864"/>
        <bgColor rgb="FF1E2761"/>
      </patternFill>
    </fill>
    <fill>
      <patternFill patternType="solid">
        <fgColor rgb="FFF2EAD3"/>
        <bgColor rgb="FFEEECE1"/>
      </patternFill>
    </fill>
    <fill>
      <patternFill patternType="solid">
        <fgColor rgb="FFD9D9D9"/>
        <bgColor rgb="FFD9E1F2"/>
      </patternFill>
    </fill>
    <fill>
      <patternFill patternType="solid">
        <fgColor rgb="FFF2F4F8"/>
        <bgColor rgb="FFF2F2F2"/>
      </patternFill>
    </fill>
    <fill>
      <patternFill patternType="solid">
        <fgColor rgb="FFFFF4D6"/>
        <bgColor rgb="FFFFF2CC"/>
      </patternFill>
    </fill>
    <fill>
      <patternFill patternType="solid">
        <fgColor theme="8" tint="0.79979857783745845"/>
        <bgColor rgb="FFDCE6F2"/>
      </patternFill>
    </fill>
    <fill>
      <patternFill patternType="solid">
        <fgColor rgb="FF0070C0"/>
        <bgColor rgb="FF2E75B6"/>
      </patternFill>
    </fill>
    <fill>
      <patternFill patternType="solid">
        <fgColor theme="5" tint="-0.249977111117893"/>
        <bgColor rgb="FF636363"/>
      </patternFill>
    </fill>
    <fill>
      <patternFill patternType="solid">
        <fgColor theme="5" tint="0.79979857783745845"/>
        <bgColor rgb="FFFCE4D6"/>
      </patternFill>
    </fill>
    <fill>
      <patternFill patternType="solid">
        <fgColor rgb="FF92D050"/>
        <bgColor rgb="FF70AD47"/>
      </patternFill>
    </fill>
    <fill>
      <patternFill patternType="solid">
        <fgColor rgb="FFEE0000"/>
        <bgColor rgb="FFFF0000"/>
      </patternFill>
    </fill>
    <fill>
      <patternFill patternType="solid">
        <fgColor rgb="FFFF0000"/>
        <bgColor rgb="FFEE0000"/>
      </patternFill>
    </fill>
    <fill>
      <patternFill patternType="solid">
        <fgColor rgb="FFD3FEFF"/>
        <bgColor rgb="FFDBEEF4"/>
      </patternFill>
    </fill>
    <fill>
      <patternFill patternType="mediumGray">
        <fgColor rgb="FF8E3637"/>
        <bgColor rgb="FF636363"/>
      </patternFill>
    </fill>
    <fill>
      <patternFill patternType="solid">
        <fgColor theme="9" tint="0.79979857783745845"/>
        <bgColor rgb="FFFCE4D6"/>
      </patternFill>
    </fill>
    <fill>
      <patternFill patternType="solid">
        <fgColor theme="5" tint="0.59959715567491678"/>
        <bgColor rgb="FFCCC1DA"/>
      </patternFill>
    </fill>
    <fill>
      <patternFill patternType="solid">
        <fgColor theme="9" tint="0.59959715567491678"/>
        <bgColor rgb="FFF2DCDB"/>
      </patternFill>
    </fill>
    <fill>
      <patternFill patternType="solid">
        <fgColor rgb="FFFED4F6"/>
        <bgColor rgb="FFF2DCDB"/>
      </patternFill>
    </fill>
    <fill>
      <patternFill patternType="darkGray">
        <fgColor theme="3" tint="0.39979247413556324"/>
        <bgColor rgb="FF2E75B6"/>
      </patternFill>
    </fill>
    <fill>
      <patternFill patternType="solid">
        <fgColor theme="6" tint="0.79979857783745845"/>
        <bgColor rgb="FFEEECE1"/>
      </patternFill>
    </fill>
    <fill>
      <patternFill patternType="solid">
        <fgColor theme="2"/>
        <bgColor rgb="FFEBF1DE"/>
      </patternFill>
    </fill>
    <fill>
      <patternFill patternType="solid">
        <fgColor theme="3" tint="0.59978026673177287"/>
        <bgColor rgb="FF8FAAD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BDD7EE"/>
      </patternFill>
    </fill>
    <fill>
      <patternFill patternType="solid">
        <fgColor theme="0"/>
        <bgColor rgb="FFF2F4F8"/>
      </patternFill>
    </fill>
    <fill>
      <patternFill patternType="solid">
        <fgColor theme="0"/>
        <bgColor rgb="FF948A5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theme="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theme="0"/>
      </top>
      <bottom style="thick">
        <color auto="1"/>
      </bottom>
      <diagonal/>
    </border>
    <border>
      <left style="thick">
        <color auto="1"/>
      </left>
      <right style="medium">
        <color theme="0"/>
      </right>
      <top style="thick">
        <color theme="0"/>
      </top>
      <bottom style="thick">
        <color auto="1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thick">
        <color auto="1"/>
      </bottom>
      <diagonal/>
    </border>
    <border>
      <left style="thick">
        <color theme="0"/>
      </left>
      <right style="thick">
        <color auto="1"/>
      </right>
      <top style="thick">
        <color theme="0"/>
      </top>
      <bottom style="thick">
        <color auto="1"/>
      </bottom>
      <diagonal/>
    </border>
    <border>
      <left style="medium">
        <color theme="0"/>
      </left>
      <right style="thick">
        <color auto="1"/>
      </right>
      <top style="thick">
        <color theme="0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3" fontId="53" fillId="0" borderId="0" applyFont="0" applyFill="0" applyBorder="0" applyAlignment="0" applyProtection="0"/>
  </cellStyleXfs>
  <cellXfs count="490">
    <xf numFmtId="0" fontId="0" fillId="0" borderId="0" xfId="0"/>
    <xf numFmtId="0" fontId="7" fillId="7" borderId="2" xfId="0" applyFont="1" applyFill="1" applyBorder="1" applyAlignment="1">
      <alignment horizontal="left" vertical="center"/>
    </xf>
    <xf numFmtId="9" fontId="3" fillId="8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horizontal="right" vertical="center"/>
    </xf>
    <xf numFmtId="0" fontId="3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9" fontId="3" fillId="3" borderId="2" xfId="0" applyNumberFormat="1" applyFont="1" applyFill="1" applyBorder="1" applyAlignment="1">
      <alignment horizontal="center" vertical="center"/>
    </xf>
    <xf numFmtId="9" fontId="3" fillId="11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9" fontId="3" fillId="12" borderId="2" xfId="0" applyNumberFormat="1" applyFont="1" applyFill="1" applyBorder="1" applyAlignment="1">
      <alignment horizontal="center" vertical="center"/>
    </xf>
    <xf numFmtId="9" fontId="3" fillId="13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9" fillId="2" borderId="2" xfId="0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right" vertical="center"/>
    </xf>
    <xf numFmtId="166" fontId="9" fillId="2" borderId="2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9" fontId="8" fillId="7" borderId="2" xfId="0" applyNumberFormat="1" applyFont="1" applyFill="1" applyBorder="1" applyAlignment="1">
      <alignment horizontal="center" vertical="center"/>
    </xf>
    <xf numFmtId="167" fontId="8" fillId="7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right" vertical="center"/>
    </xf>
    <xf numFmtId="165" fontId="10" fillId="7" borderId="2" xfId="0" applyNumberFormat="1" applyFont="1" applyFill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0" fontId="7" fillId="1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15" borderId="0" xfId="0" applyFont="1" applyFill="1" applyAlignment="1">
      <alignment vertical="center"/>
    </xf>
    <xf numFmtId="0" fontId="15" fillId="16" borderId="0" xfId="0" applyFont="1" applyFill="1" applyAlignment="1">
      <alignment horizontal="left" vertical="center"/>
    </xf>
    <xf numFmtId="0" fontId="16" fillId="17" borderId="2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9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168" fontId="20" fillId="0" borderId="2" xfId="0" applyNumberFormat="1" applyFont="1" applyBorder="1" applyAlignment="1">
      <alignment horizontal="center" vertical="center"/>
    </xf>
    <xf numFmtId="167" fontId="19" fillId="0" borderId="2" xfId="0" applyNumberFormat="1" applyFont="1" applyBorder="1" applyAlignment="1">
      <alignment horizontal="center" vertical="center"/>
    </xf>
    <xf numFmtId="169" fontId="19" fillId="0" borderId="2" xfId="0" applyNumberFormat="1" applyFont="1" applyBorder="1" applyAlignment="1">
      <alignment horizontal="right" vertical="center"/>
    </xf>
    <xf numFmtId="169" fontId="20" fillId="0" borderId="2" xfId="0" applyNumberFormat="1" applyFont="1" applyBorder="1" applyAlignment="1">
      <alignment horizontal="right" vertical="center"/>
    </xf>
    <xf numFmtId="165" fontId="19" fillId="0" borderId="2" xfId="0" applyNumberFormat="1" applyFont="1" applyBorder="1" applyAlignment="1">
      <alignment horizontal="right" vertical="center"/>
    </xf>
    <xf numFmtId="169" fontId="20" fillId="20" borderId="2" xfId="0" applyNumberFormat="1" applyFont="1" applyFill="1" applyBorder="1"/>
    <xf numFmtId="169" fontId="20" fillId="0" borderId="2" xfId="0" applyNumberFormat="1" applyFont="1" applyBorder="1"/>
    <xf numFmtId="0" fontId="21" fillId="0" borderId="2" xfId="0" applyFont="1" applyBorder="1" applyAlignment="1">
      <alignment horizontal="left" vertical="center"/>
    </xf>
    <xf numFmtId="0" fontId="0" fillId="14" borderId="2" xfId="0" applyFill="1" applyBorder="1"/>
    <xf numFmtId="0" fontId="22" fillId="14" borderId="2" xfId="0" applyFont="1" applyFill="1" applyBorder="1"/>
    <xf numFmtId="169" fontId="22" fillId="14" borderId="2" xfId="0" applyNumberFormat="1" applyFont="1" applyFill="1" applyBorder="1"/>
    <xf numFmtId="165" fontId="22" fillId="14" borderId="2" xfId="0" applyNumberFormat="1" applyFont="1" applyFill="1" applyBorder="1"/>
    <xf numFmtId="169" fontId="22" fillId="20" borderId="2" xfId="0" applyNumberFormat="1" applyFont="1" applyFill="1" applyBorder="1"/>
    <xf numFmtId="0" fontId="23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168" fontId="23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8" fontId="19" fillId="15" borderId="2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horizontal="right" vertical="center"/>
    </xf>
    <xf numFmtId="168" fontId="22" fillId="14" borderId="2" xfId="0" applyNumberFormat="1" applyFont="1" applyFill="1" applyBorder="1"/>
    <xf numFmtId="168" fontId="22" fillId="20" borderId="2" xfId="0" applyNumberFormat="1" applyFont="1" applyFill="1" applyBorder="1"/>
    <xf numFmtId="9" fontId="0" fillId="22" borderId="2" xfId="0" applyNumberFormat="1" applyFill="1" applyBorder="1" applyAlignment="1">
      <alignment horizontal="center" vertical="center"/>
    </xf>
    <xf numFmtId="0" fontId="0" fillId="22" borderId="2" xfId="0" applyFill="1" applyBorder="1"/>
    <xf numFmtId="169" fontId="22" fillId="22" borderId="2" xfId="0" applyNumberFormat="1" applyFont="1" applyFill="1" applyBorder="1"/>
    <xf numFmtId="9" fontId="0" fillId="23" borderId="2" xfId="0" applyNumberFormat="1" applyFill="1" applyBorder="1" applyAlignment="1">
      <alignment horizontal="center" vertical="center"/>
    </xf>
    <xf numFmtId="0" fontId="0" fillId="23" borderId="2" xfId="0" applyFill="1" applyBorder="1"/>
    <xf numFmtId="169" fontId="22" fillId="23" borderId="2" xfId="0" applyNumberFormat="1" applyFont="1" applyFill="1" applyBorder="1"/>
    <xf numFmtId="0" fontId="22" fillId="0" borderId="2" xfId="0" applyFont="1" applyBorder="1" applyAlignment="1">
      <alignment horizontal="left" vertical="center"/>
    </xf>
    <xf numFmtId="165" fontId="20" fillId="0" borderId="2" xfId="0" applyNumberFormat="1" applyFont="1" applyBorder="1" applyAlignment="1">
      <alignment horizontal="right" vertical="center"/>
    </xf>
    <xf numFmtId="168" fontId="20" fillId="0" borderId="2" xfId="0" applyNumberFormat="1" applyFont="1" applyBorder="1" applyAlignment="1">
      <alignment horizontal="right" vertical="center"/>
    </xf>
    <xf numFmtId="0" fontId="0" fillId="0" borderId="2" xfId="0" applyBorder="1"/>
    <xf numFmtId="165" fontId="20" fillId="20" borderId="2" xfId="0" applyNumberFormat="1" applyFont="1" applyFill="1" applyBorder="1"/>
    <xf numFmtId="165" fontId="20" fillId="0" borderId="2" xfId="0" applyNumberFormat="1" applyFont="1" applyBorder="1"/>
    <xf numFmtId="0" fontId="18" fillId="14" borderId="2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left" vertical="center"/>
    </xf>
    <xf numFmtId="165" fontId="22" fillId="14" borderId="2" xfId="0" applyNumberFormat="1" applyFont="1" applyFill="1" applyBorder="1" applyAlignment="1">
      <alignment horizontal="right" vertical="center"/>
    </xf>
    <xf numFmtId="168" fontId="22" fillId="14" borderId="2" xfId="0" applyNumberFormat="1" applyFont="1" applyFill="1" applyBorder="1" applyAlignment="1">
      <alignment horizontal="right" vertical="center"/>
    </xf>
    <xf numFmtId="165" fontId="17" fillId="24" borderId="2" xfId="0" applyNumberFormat="1" applyFont="1" applyFill="1" applyBorder="1" applyAlignment="1">
      <alignment horizontal="right" vertical="center"/>
    </xf>
    <xf numFmtId="165" fontId="22" fillId="20" borderId="2" xfId="0" applyNumberFormat="1" applyFont="1" applyFill="1" applyBorder="1"/>
    <xf numFmtId="165" fontId="20" fillId="19" borderId="2" xfId="0" applyNumberFormat="1" applyFont="1" applyFill="1" applyBorder="1" applyAlignment="1">
      <alignment horizontal="right" vertical="center"/>
    </xf>
    <xf numFmtId="165" fontId="22" fillId="14" borderId="2" xfId="0" applyNumberFormat="1" applyFont="1" applyFill="1" applyBorder="1" applyAlignment="1">
      <alignment horizontal="right"/>
    </xf>
    <xf numFmtId="168" fontId="22" fillId="14" borderId="2" xfId="0" applyNumberFormat="1" applyFont="1" applyFill="1" applyBorder="1" applyAlignment="1">
      <alignment horizontal="right"/>
    </xf>
    <xf numFmtId="165" fontId="22" fillId="25" borderId="2" xfId="0" applyNumberFormat="1" applyFont="1" applyFill="1" applyBorder="1"/>
    <xf numFmtId="0" fontId="19" fillId="0" borderId="0" xfId="0" applyFont="1"/>
    <xf numFmtId="0" fontId="22" fillId="0" borderId="0" xfId="0" applyFont="1"/>
    <xf numFmtId="0" fontId="20" fillId="0" borderId="0" xfId="0" applyFont="1"/>
    <xf numFmtId="0" fontId="23" fillId="0" borderId="0" xfId="0" applyFont="1"/>
    <xf numFmtId="0" fontId="0" fillId="15" borderId="0" xfId="0" applyFill="1"/>
    <xf numFmtId="0" fontId="0" fillId="7" borderId="0" xfId="0" applyFill="1"/>
    <xf numFmtId="0" fontId="16" fillId="17" borderId="2" xfId="0" applyFont="1" applyFill="1" applyBorder="1" applyAlignment="1">
      <alignment horizontal="center" vertical="center"/>
    </xf>
    <xf numFmtId="0" fontId="0" fillId="20" borderId="0" xfId="0" applyFill="1"/>
    <xf numFmtId="0" fontId="0" fillId="26" borderId="0" xfId="0" applyFill="1"/>
    <xf numFmtId="0" fontId="17" fillId="19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6" fillId="9" borderId="2" xfId="0" applyFont="1" applyFill="1" applyBorder="1" applyAlignment="1">
      <alignment horizontal="center" vertical="center" wrapText="1"/>
    </xf>
    <xf numFmtId="165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165" fontId="18" fillId="0" borderId="2" xfId="0" applyNumberFormat="1" applyFont="1" applyBorder="1" applyAlignment="1">
      <alignment horizontal="right" vertical="center"/>
    </xf>
    <xf numFmtId="169" fontId="18" fillId="0" borderId="2" xfId="0" applyNumberFormat="1" applyFont="1" applyBorder="1" applyAlignment="1">
      <alignment horizontal="right" vertical="center"/>
    </xf>
    <xf numFmtId="167" fontId="18" fillId="0" borderId="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9" fontId="18" fillId="0" borderId="2" xfId="0" applyNumberFormat="1" applyFont="1" applyBorder="1" applyAlignment="1">
      <alignment vertical="center"/>
    </xf>
    <xf numFmtId="169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vertical="center"/>
    </xf>
    <xf numFmtId="170" fontId="18" fillId="0" borderId="0" xfId="0" applyNumberFormat="1" applyFont="1"/>
    <xf numFmtId="167" fontId="18" fillId="19" borderId="2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25" fillId="27" borderId="3" xfId="0" applyFont="1" applyFill="1" applyBorder="1" applyAlignment="1">
      <alignment horizontal="center" vertical="center" wrapText="1"/>
    </xf>
    <xf numFmtId="0" fontId="26" fillId="28" borderId="3" xfId="0" applyFont="1" applyFill="1" applyBorder="1" applyAlignment="1">
      <alignment horizontal="center" vertical="center" wrapText="1"/>
    </xf>
    <xf numFmtId="0" fontId="26" fillId="23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/>
    </xf>
    <xf numFmtId="171" fontId="27" fillId="0" borderId="3" xfId="0" applyNumberFormat="1" applyFont="1" applyBorder="1" applyAlignment="1">
      <alignment horizontal="right" vertical="center"/>
    </xf>
    <xf numFmtId="172" fontId="27" fillId="0" borderId="3" xfId="0" applyNumberFormat="1" applyFont="1" applyBorder="1" applyAlignment="1">
      <alignment horizontal="right" vertical="center"/>
    </xf>
    <xf numFmtId="171" fontId="27" fillId="23" borderId="3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28" fillId="29" borderId="3" xfId="0" applyFont="1" applyFill="1" applyBorder="1" applyAlignment="1">
      <alignment horizontal="left" vertical="center"/>
    </xf>
    <xf numFmtId="171" fontId="28" fillId="29" borderId="3" xfId="0" applyNumberFormat="1" applyFont="1" applyFill="1" applyBorder="1" applyAlignment="1">
      <alignment horizontal="right" vertical="center"/>
    </xf>
    <xf numFmtId="172" fontId="28" fillId="29" borderId="3" xfId="0" applyNumberFormat="1" applyFont="1" applyFill="1" applyBorder="1" applyAlignment="1">
      <alignment horizontal="right" vertical="center"/>
    </xf>
    <xf numFmtId="0" fontId="0" fillId="0" borderId="4" xfId="0" applyBorder="1"/>
    <xf numFmtId="0" fontId="29" fillId="0" borderId="4" xfId="0" applyFont="1" applyBorder="1"/>
    <xf numFmtId="0" fontId="31" fillId="6" borderId="5" xfId="0" applyFont="1" applyFill="1" applyBorder="1" applyAlignment="1">
      <alignment horizontal="left" vertical="center" indent="1"/>
    </xf>
    <xf numFmtId="0" fontId="31" fillId="6" borderId="5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left" vertical="center" indent="1"/>
    </xf>
    <xf numFmtId="3" fontId="32" fillId="0" borderId="5" xfId="0" applyNumberFormat="1" applyFont="1" applyBorder="1" applyAlignment="1">
      <alignment horizontal="right" vertical="center" indent="1"/>
    </xf>
    <xf numFmtId="166" fontId="32" fillId="0" borderId="5" xfId="0" applyNumberFormat="1" applyFont="1" applyBorder="1" applyAlignment="1">
      <alignment horizontal="right" vertical="center" indent="1"/>
    </xf>
    <xf numFmtId="0" fontId="33" fillId="30" borderId="5" xfId="0" applyFont="1" applyFill="1" applyBorder="1" applyAlignment="1">
      <alignment horizontal="left" vertical="center" indent="3"/>
    </xf>
    <xf numFmtId="3" fontId="33" fillId="30" borderId="5" xfId="0" applyNumberFormat="1" applyFont="1" applyFill="1" applyBorder="1" applyAlignment="1">
      <alignment horizontal="right" vertical="center" indent="1"/>
    </xf>
    <xf numFmtId="166" fontId="33" fillId="30" borderId="5" xfId="0" applyNumberFormat="1" applyFont="1" applyFill="1" applyBorder="1" applyAlignment="1">
      <alignment horizontal="right" vertical="center" indent="1"/>
    </xf>
    <xf numFmtId="0" fontId="31" fillId="31" borderId="5" xfId="0" applyFont="1" applyFill="1" applyBorder="1" applyAlignment="1">
      <alignment horizontal="left" vertical="center" indent="1"/>
    </xf>
    <xf numFmtId="3" fontId="32" fillId="31" borderId="5" xfId="0" applyNumberFormat="1" applyFont="1" applyFill="1" applyBorder="1" applyAlignment="1">
      <alignment horizontal="right" vertical="center" indent="1"/>
    </xf>
    <xf numFmtId="166" fontId="32" fillId="31" borderId="5" xfId="0" applyNumberFormat="1" applyFont="1" applyFill="1" applyBorder="1" applyAlignment="1">
      <alignment horizontal="right" vertical="center" indent="1"/>
    </xf>
    <xf numFmtId="0" fontId="35" fillId="4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173" fontId="35" fillId="0" borderId="0" xfId="0" applyNumberFormat="1" applyFont="1" applyAlignment="1">
      <alignment vertical="center"/>
    </xf>
    <xf numFmtId="174" fontId="35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32" borderId="6" xfId="0" applyFont="1" applyFill="1" applyBorder="1" applyAlignment="1">
      <alignment vertical="center"/>
    </xf>
    <xf numFmtId="0" fontId="36" fillId="32" borderId="7" xfId="0" applyFont="1" applyFill="1" applyBorder="1" applyAlignment="1">
      <alignment vertical="center"/>
    </xf>
    <xf numFmtId="175" fontId="37" fillId="33" borderId="8" xfId="0" applyNumberFormat="1" applyFont="1" applyFill="1" applyBorder="1" applyAlignment="1">
      <alignment horizontal="left" vertical="center" wrapText="1"/>
    </xf>
    <xf numFmtId="0" fontId="35" fillId="0" borderId="0" xfId="0" applyFont="1" applyAlignment="1">
      <alignment vertical="center"/>
    </xf>
    <xf numFmtId="0" fontId="36" fillId="32" borderId="9" xfId="0" applyFont="1" applyFill="1" applyBorder="1" applyAlignment="1">
      <alignment horizontal="center" vertical="center"/>
    </xf>
    <xf numFmtId="0" fontId="36" fillId="32" borderId="10" xfId="0" applyFont="1" applyFill="1" applyBorder="1" applyAlignment="1">
      <alignment horizontal="center" vertical="center"/>
    </xf>
    <xf numFmtId="175" fontId="37" fillId="33" borderId="11" xfId="0" applyNumberFormat="1" applyFont="1" applyFill="1" applyBorder="1" applyAlignment="1">
      <alignment horizontal="left" vertical="center" wrapText="1"/>
    </xf>
    <xf numFmtId="175" fontId="37" fillId="33" borderId="12" xfId="0" applyNumberFormat="1" applyFont="1" applyFill="1" applyBorder="1" applyAlignment="1">
      <alignment horizontal="center" vertical="center" wrapText="1"/>
    </xf>
    <xf numFmtId="175" fontId="37" fillId="33" borderId="13" xfId="0" applyNumberFormat="1" applyFont="1" applyFill="1" applyBorder="1" applyAlignment="1">
      <alignment horizontal="center" vertical="center" wrapText="1"/>
    </xf>
    <xf numFmtId="175" fontId="37" fillId="33" borderId="14" xfId="0" applyNumberFormat="1" applyFont="1" applyFill="1" applyBorder="1" applyAlignment="1">
      <alignment horizontal="center" vertical="center" wrapText="1"/>
    </xf>
    <xf numFmtId="175" fontId="37" fillId="34" borderId="12" xfId="0" applyNumberFormat="1" applyFont="1" applyFill="1" applyBorder="1" applyAlignment="1">
      <alignment horizontal="center" vertical="center" wrapText="1"/>
    </xf>
    <xf numFmtId="175" fontId="37" fillId="34" borderId="13" xfId="0" applyNumberFormat="1" applyFont="1" applyFill="1" applyBorder="1" applyAlignment="1">
      <alignment horizontal="center" vertical="center" wrapText="1"/>
    </xf>
    <xf numFmtId="175" fontId="37" fillId="34" borderId="14" xfId="0" applyNumberFormat="1" applyFont="1" applyFill="1" applyBorder="1" applyAlignment="1">
      <alignment horizontal="center" vertical="center" wrapText="1"/>
    </xf>
    <xf numFmtId="175" fontId="37" fillId="33" borderId="15" xfId="0" applyNumberFormat="1" applyFont="1" applyFill="1" applyBorder="1" applyAlignment="1">
      <alignment horizontal="center" vertical="center" wrapText="1"/>
    </xf>
    <xf numFmtId="0" fontId="35" fillId="0" borderId="16" xfId="0" applyFont="1" applyBorder="1" applyAlignment="1">
      <alignment horizontal="left" vertical="center"/>
    </xf>
    <xf numFmtId="0" fontId="35" fillId="0" borderId="17" xfId="0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19" borderId="20" xfId="0" applyFont="1" applyFill="1" applyBorder="1" applyAlignment="1">
      <alignment horizontal="left" vertical="center"/>
    </xf>
    <xf numFmtId="173" fontId="7" fillId="0" borderId="0" xfId="0" applyNumberFormat="1" applyFont="1" applyAlignment="1">
      <alignment vertical="center"/>
    </xf>
    <xf numFmtId="173" fontId="7" fillId="19" borderId="21" xfId="0" applyNumberFormat="1" applyFont="1" applyFill="1" applyBorder="1" applyAlignment="1">
      <alignment vertical="center"/>
    </xf>
    <xf numFmtId="173" fontId="7" fillId="19" borderId="19" xfId="0" applyNumberFormat="1" applyFont="1" applyFill="1" applyBorder="1" applyAlignment="1">
      <alignment vertical="center"/>
    </xf>
    <xf numFmtId="173" fontId="7" fillId="19" borderId="22" xfId="0" applyNumberFormat="1" applyFont="1" applyFill="1" applyBorder="1" applyAlignment="1">
      <alignment vertical="center"/>
    </xf>
    <xf numFmtId="173" fontId="7" fillId="0" borderId="22" xfId="0" applyNumberFormat="1" applyFont="1" applyBorder="1" applyAlignment="1">
      <alignment vertical="center"/>
    </xf>
    <xf numFmtId="173" fontId="7" fillId="0" borderId="20" xfId="0" applyNumberFormat="1" applyFont="1" applyBorder="1" applyAlignment="1">
      <alignment vertical="center"/>
    </xf>
    <xf numFmtId="173" fontId="7" fillId="19" borderId="23" xfId="0" applyNumberFormat="1" applyFont="1" applyFill="1" applyBorder="1" applyAlignment="1">
      <alignment vertical="center"/>
    </xf>
    <xf numFmtId="173" fontId="7" fillId="0" borderId="21" xfId="0" applyNumberFormat="1" applyFont="1" applyBorder="1" applyAlignment="1">
      <alignment vertical="center"/>
    </xf>
    <xf numFmtId="173" fontId="7" fillId="0" borderId="19" xfId="0" applyNumberFormat="1" applyFont="1" applyBorder="1" applyAlignment="1">
      <alignment vertical="center"/>
    </xf>
    <xf numFmtId="0" fontId="38" fillId="0" borderId="19" xfId="0" applyFont="1" applyBorder="1" applyAlignment="1">
      <alignment vertical="center"/>
    </xf>
    <xf numFmtId="0" fontId="38" fillId="0" borderId="24" xfId="0" applyFont="1" applyBorder="1" applyAlignment="1">
      <alignment horizontal="left" vertical="center"/>
    </xf>
    <xf numFmtId="173" fontId="38" fillId="0" borderId="0" xfId="0" applyNumberFormat="1" applyFont="1" applyAlignment="1">
      <alignment vertical="center"/>
    </xf>
    <xf numFmtId="166" fontId="38" fillId="0" borderId="25" xfId="0" applyNumberFormat="1" applyFont="1" applyBorder="1" applyAlignment="1">
      <alignment vertical="center"/>
    </xf>
    <xf numFmtId="166" fontId="38" fillId="0" borderId="26" xfId="0" applyNumberFormat="1" applyFont="1" applyBorder="1" applyAlignment="1">
      <alignment vertical="center"/>
    </xf>
    <xf numFmtId="166" fontId="38" fillId="0" borderId="27" xfId="0" applyNumberFormat="1" applyFont="1" applyBorder="1" applyAlignment="1">
      <alignment vertical="center"/>
    </xf>
    <xf numFmtId="166" fontId="38" fillId="0" borderId="24" xfId="0" applyNumberFormat="1" applyFont="1" applyBorder="1" applyAlignment="1">
      <alignment vertical="center"/>
    </xf>
    <xf numFmtId="166" fontId="38" fillId="0" borderId="28" xfId="0" applyNumberFormat="1" applyFont="1" applyBorder="1" applyAlignment="1">
      <alignment vertical="center"/>
    </xf>
    <xf numFmtId="0" fontId="39" fillId="0" borderId="19" xfId="0" applyFont="1" applyBorder="1" applyAlignment="1">
      <alignment vertical="center"/>
    </xf>
    <xf numFmtId="0" fontId="39" fillId="0" borderId="23" xfId="0" applyFont="1" applyBorder="1" applyAlignment="1">
      <alignment horizontal="left" vertical="center"/>
    </xf>
    <xf numFmtId="173" fontId="39" fillId="0" borderId="0" xfId="0" applyNumberFormat="1" applyFont="1" applyAlignment="1">
      <alignment vertical="center"/>
    </xf>
    <xf numFmtId="173" fontId="39" fillId="0" borderId="29" xfId="0" applyNumberFormat="1" applyFont="1" applyBorder="1" applyAlignment="1">
      <alignment vertical="center"/>
    </xf>
    <xf numFmtId="173" fontId="39" fillId="0" borderId="30" xfId="0" applyNumberFormat="1" applyFont="1" applyBorder="1" applyAlignment="1">
      <alignment vertical="center"/>
    </xf>
    <xf numFmtId="173" fontId="39" fillId="0" borderId="31" xfId="0" applyNumberFormat="1" applyFont="1" applyBorder="1" applyAlignment="1">
      <alignment vertical="center"/>
    </xf>
    <xf numFmtId="173" fontId="39" fillId="0" borderId="23" xfId="0" applyNumberFormat="1" applyFont="1" applyBorder="1" applyAlignment="1">
      <alignment vertical="center"/>
    </xf>
    <xf numFmtId="0" fontId="39" fillId="0" borderId="32" xfId="0" applyFont="1" applyBorder="1" applyAlignment="1">
      <alignment horizontal="left" vertical="center"/>
    </xf>
    <xf numFmtId="173" fontId="39" fillId="0" borderId="33" xfId="0" applyNumberFormat="1" applyFont="1" applyBorder="1" applyAlignment="1">
      <alignment vertical="center"/>
    </xf>
    <xf numFmtId="173" fontId="39" fillId="0" borderId="34" xfId="0" applyNumberFormat="1" applyFont="1" applyBorder="1" applyAlignment="1">
      <alignment vertical="center"/>
    </xf>
    <xf numFmtId="173" fontId="39" fillId="0" borderId="35" xfId="0" applyNumberFormat="1" applyFont="1" applyBorder="1" applyAlignment="1">
      <alignment vertical="center"/>
    </xf>
    <xf numFmtId="173" fontId="39" fillId="0" borderId="32" xfId="0" applyNumberFormat="1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173" fontId="7" fillId="0" borderId="29" xfId="0" applyNumberFormat="1" applyFont="1" applyBorder="1" applyAlignment="1">
      <alignment vertical="center"/>
    </xf>
    <xf numFmtId="173" fontId="7" fillId="0" borderId="30" xfId="0" applyNumberFormat="1" applyFont="1" applyBorder="1" applyAlignment="1">
      <alignment vertical="center"/>
    </xf>
    <xf numFmtId="173" fontId="7" fillId="0" borderId="31" xfId="0" applyNumberFormat="1" applyFont="1" applyBorder="1" applyAlignment="1">
      <alignment vertical="center"/>
    </xf>
    <xf numFmtId="173" fontId="7" fillId="0" borderId="23" xfId="0" applyNumberFormat="1" applyFont="1" applyBorder="1" applyAlignment="1">
      <alignment vertical="center"/>
    </xf>
    <xf numFmtId="173" fontId="7" fillId="0" borderId="36" xfId="0" applyNumberFormat="1" applyFont="1" applyBorder="1" applyAlignment="1">
      <alignment vertical="center"/>
    </xf>
    <xf numFmtId="0" fontId="38" fillId="0" borderId="28" xfId="0" applyFont="1" applyBorder="1" applyAlignment="1">
      <alignment horizontal="left" vertical="center"/>
    </xf>
    <xf numFmtId="166" fontId="38" fillId="0" borderId="37" xfId="0" applyNumberFormat="1" applyFont="1" applyBorder="1" applyAlignment="1">
      <alignment vertical="center"/>
    </xf>
    <xf numFmtId="166" fontId="38" fillId="0" borderId="38" xfId="0" applyNumberFormat="1" applyFont="1" applyBorder="1" applyAlignment="1">
      <alignment vertical="center"/>
    </xf>
    <xf numFmtId="166" fontId="38" fillId="0" borderId="39" xfId="0" applyNumberFormat="1" applyFont="1" applyBorder="1" applyAlignment="1">
      <alignment vertical="center"/>
    </xf>
    <xf numFmtId="166" fontId="38" fillId="0" borderId="40" xfId="0" applyNumberFormat="1" applyFont="1" applyBorder="1" applyAlignment="1">
      <alignment vertical="center"/>
    </xf>
    <xf numFmtId="0" fontId="39" fillId="0" borderId="20" xfId="0" applyFont="1" applyBorder="1" applyAlignment="1">
      <alignment horizontal="left" vertical="center"/>
    </xf>
    <xf numFmtId="173" fontId="39" fillId="0" borderId="21" xfId="0" applyNumberFormat="1" applyFont="1" applyBorder="1" applyAlignment="1">
      <alignment vertical="center"/>
    </xf>
    <xf numFmtId="173" fontId="39" fillId="0" borderId="19" xfId="0" applyNumberFormat="1" applyFont="1" applyBorder="1" applyAlignment="1">
      <alignment vertical="center"/>
    </xf>
    <xf numFmtId="173" fontId="39" fillId="0" borderId="22" xfId="0" applyNumberFormat="1" applyFont="1" applyBorder="1" applyAlignment="1">
      <alignment vertical="center"/>
    </xf>
    <xf numFmtId="173" fontId="39" fillId="0" borderId="20" xfId="0" applyNumberFormat="1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40" fillId="33" borderId="41" xfId="0" applyFont="1" applyFill="1" applyBorder="1" applyAlignment="1">
      <alignment horizontal="left" vertical="center"/>
    </xf>
    <xf numFmtId="173" fontId="40" fillId="33" borderId="42" xfId="0" applyNumberFormat="1" applyFont="1" applyFill="1" applyBorder="1" applyAlignment="1">
      <alignment vertical="center"/>
    </xf>
    <xf numFmtId="173" fontId="40" fillId="33" borderId="43" xfId="0" applyNumberFormat="1" applyFont="1" applyFill="1" applyBorder="1" applyAlignment="1">
      <alignment vertical="center"/>
    </xf>
    <xf numFmtId="173" fontId="40" fillId="33" borderId="41" xfId="0" applyNumberFormat="1" applyFont="1" applyFill="1" applyBorder="1" applyAlignment="1">
      <alignment vertical="center"/>
    </xf>
    <xf numFmtId="0" fontId="38" fillId="0" borderId="44" xfId="0" applyFont="1" applyBorder="1" applyAlignment="1">
      <alignment horizontal="left" vertical="center"/>
    </xf>
    <xf numFmtId="166" fontId="38" fillId="0" borderId="45" xfId="0" applyNumberFormat="1" applyFont="1" applyBorder="1" applyAlignment="1">
      <alignment vertical="center"/>
    </xf>
    <xf numFmtId="166" fontId="38" fillId="0" borderId="46" xfId="0" applyNumberFormat="1" applyFont="1" applyBorder="1" applyAlignment="1">
      <alignment vertical="center"/>
    </xf>
    <xf numFmtId="166" fontId="38" fillId="0" borderId="47" xfId="0" applyNumberFormat="1" applyFont="1" applyBorder="1" applyAlignment="1">
      <alignment vertical="center"/>
    </xf>
    <xf numFmtId="166" fontId="38" fillId="0" borderId="44" xfId="0" applyNumberFormat="1" applyFont="1" applyBorder="1" applyAlignment="1">
      <alignment vertical="center"/>
    </xf>
    <xf numFmtId="173" fontId="39" fillId="0" borderId="26" xfId="0" applyNumberFormat="1" applyFont="1" applyBorder="1" applyAlignment="1">
      <alignment vertical="center"/>
    </xf>
    <xf numFmtId="173" fontId="39" fillId="35" borderId="19" xfId="0" applyNumberFormat="1" applyFont="1" applyFill="1" applyBorder="1" applyAlignment="1">
      <alignment vertical="center"/>
    </xf>
    <xf numFmtId="173" fontId="39" fillId="0" borderId="24" xfId="0" applyNumberFormat="1" applyFont="1" applyBorder="1" applyAlignment="1">
      <alignment vertical="center"/>
    </xf>
    <xf numFmtId="173" fontId="39" fillId="19" borderId="19" xfId="0" applyNumberFormat="1" applyFont="1" applyFill="1" applyBorder="1" applyAlignment="1">
      <alignment vertical="center"/>
    </xf>
    <xf numFmtId="173" fontId="39" fillId="35" borderId="25" xfId="0" applyNumberFormat="1" applyFont="1" applyFill="1" applyBorder="1" applyAlignment="1">
      <alignment vertical="center"/>
    </xf>
    <xf numFmtId="173" fontId="39" fillId="35" borderId="26" xfId="0" applyNumberFormat="1" applyFont="1" applyFill="1" applyBorder="1" applyAlignment="1">
      <alignment vertical="center"/>
    </xf>
    <xf numFmtId="173" fontId="39" fillId="36" borderId="19" xfId="0" applyNumberFormat="1" applyFont="1" applyFill="1" applyBorder="1" applyAlignment="1">
      <alignment vertical="center"/>
    </xf>
    <xf numFmtId="173" fontId="41" fillId="0" borderId="19" xfId="0" applyNumberFormat="1" applyFont="1" applyBorder="1" applyAlignment="1">
      <alignment vertical="center"/>
    </xf>
    <xf numFmtId="173" fontId="39" fillId="19" borderId="21" xfId="0" applyNumberFormat="1" applyFont="1" applyFill="1" applyBorder="1" applyAlignment="1">
      <alignment vertical="center"/>
    </xf>
    <xf numFmtId="173" fontId="39" fillId="37" borderId="26" xfId="0" applyNumberFormat="1" applyFont="1" applyFill="1" applyBorder="1" applyAlignment="1">
      <alignment vertical="center"/>
    </xf>
    <xf numFmtId="173" fontId="41" fillId="38" borderId="19" xfId="0" applyNumberFormat="1" applyFont="1" applyFill="1" applyBorder="1" applyAlignment="1">
      <alignment vertical="center"/>
    </xf>
    <xf numFmtId="0" fontId="42" fillId="0" borderId="19" xfId="0" applyFont="1" applyBorder="1" applyAlignment="1">
      <alignment vertical="center"/>
    </xf>
    <xf numFmtId="0" fontId="43" fillId="7" borderId="23" xfId="0" applyFont="1" applyFill="1" applyBorder="1" applyAlignment="1">
      <alignment horizontal="left" vertical="center"/>
    </xf>
    <xf numFmtId="173" fontId="43" fillId="0" borderId="0" xfId="0" applyNumberFormat="1" applyFont="1" applyAlignment="1">
      <alignment vertical="center"/>
    </xf>
    <xf numFmtId="173" fontId="43" fillId="7" borderId="29" xfId="0" applyNumberFormat="1" applyFont="1" applyFill="1" applyBorder="1" applyAlignment="1">
      <alignment vertical="center"/>
    </xf>
    <xf numFmtId="173" fontId="43" fillId="7" borderId="30" xfId="0" applyNumberFormat="1" applyFont="1" applyFill="1" applyBorder="1" applyAlignment="1">
      <alignment vertical="center"/>
    </xf>
    <xf numFmtId="173" fontId="43" fillId="7" borderId="23" xfId="0" applyNumberFormat="1" applyFont="1" applyFill="1" applyBorder="1" applyAlignment="1">
      <alignment vertical="center"/>
    </xf>
    <xf numFmtId="173" fontId="43" fillId="0" borderId="30" xfId="0" applyNumberFormat="1" applyFont="1" applyBorder="1" applyAlignment="1">
      <alignment vertical="center"/>
    </xf>
    <xf numFmtId="173" fontId="43" fillId="7" borderId="41" xfId="0" applyNumberFormat="1" applyFont="1" applyFill="1" applyBorder="1" applyAlignment="1">
      <alignment vertical="center"/>
    </xf>
    <xf numFmtId="173" fontId="39" fillId="39" borderId="21" xfId="0" applyNumberFormat="1" applyFont="1" applyFill="1" applyBorder="1" applyAlignment="1">
      <alignment vertical="center"/>
    </xf>
    <xf numFmtId="173" fontId="39" fillId="39" borderId="19" xfId="0" applyNumberFormat="1" applyFont="1" applyFill="1" applyBorder="1" applyAlignment="1">
      <alignment vertical="center"/>
    </xf>
    <xf numFmtId="173" fontId="39" fillId="39" borderId="24" xfId="0" applyNumberFormat="1" applyFont="1" applyFill="1" applyBorder="1" applyAlignment="1">
      <alignment vertical="center"/>
    </xf>
    <xf numFmtId="173" fontId="41" fillId="0" borderId="20" xfId="0" applyNumberFormat="1" applyFont="1" applyBorder="1" applyAlignment="1">
      <alignment vertical="center"/>
    </xf>
    <xf numFmtId="173" fontId="41" fillId="40" borderId="20" xfId="0" applyNumberFormat="1" applyFont="1" applyFill="1" applyBorder="1" applyAlignment="1">
      <alignment vertical="center"/>
    </xf>
    <xf numFmtId="173" fontId="44" fillId="0" borderId="19" xfId="0" applyNumberFormat="1" applyFont="1" applyBorder="1" applyAlignment="1">
      <alignment vertical="center"/>
    </xf>
    <xf numFmtId="173" fontId="43" fillId="39" borderId="29" xfId="0" applyNumberFormat="1" applyFont="1" applyFill="1" applyBorder="1" applyAlignment="1">
      <alignment vertical="center"/>
    </xf>
    <xf numFmtId="173" fontId="43" fillId="39" borderId="30" xfId="0" applyNumberFormat="1" applyFont="1" applyFill="1" applyBorder="1" applyAlignment="1">
      <alignment vertical="center"/>
    </xf>
    <xf numFmtId="173" fontId="43" fillId="39" borderId="23" xfId="0" applyNumberFormat="1" applyFont="1" applyFill="1" applyBorder="1" applyAlignment="1">
      <alignment vertical="center"/>
    </xf>
    <xf numFmtId="0" fontId="8" fillId="34" borderId="19" xfId="0" applyFont="1" applyFill="1" applyBorder="1" applyAlignment="1">
      <alignment vertical="center"/>
    </xf>
    <xf numFmtId="0" fontId="7" fillId="29" borderId="23" xfId="0" applyFont="1" applyFill="1" applyBorder="1" applyAlignment="1">
      <alignment horizontal="left" vertical="center"/>
    </xf>
    <xf numFmtId="173" fontId="7" fillId="29" borderId="29" xfId="0" applyNumberFormat="1" applyFont="1" applyFill="1" applyBorder="1" applyAlignment="1">
      <alignment vertical="center"/>
    </xf>
    <xf numFmtId="173" fontId="7" fillId="29" borderId="30" xfId="0" applyNumberFormat="1" applyFont="1" applyFill="1" applyBorder="1" applyAlignment="1">
      <alignment vertical="center"/>
    </xf>
    <xf numFmtId="173" fontId="7" fillId="29" borderId="23" xfId="0" applyNumberFormat="1" applyFont="1" applyFill="1" applyBorder="1" applyAlignment="1">
      <alignment vertical="center"/>
    </xf>
    <xf numFmtId="0" fontId="39" fillId="0" borderId="24" xfId="0" applyFont="1" applyBorder="1" applyAlignment="1">
      <alignment horizontal="left" vertical="center"/>
    </xf>
    <xf numFmtId="173" fontId="39" fillId="0" borderId="25" xfId="0" applyNumberFormat="1" applyFont="1" applyBorder="1" applyAlignment="1">
      <alignment vertical="center"/>
    </xf>
    <xf numFmtId="173" fontId="39" fillId="41" borderId="26" xfId="0" applyNumberFormat="1" applyFont="1" applyFill="1" applyBorder="1" applyAlignment="1">
      <alignment vertical="center"/>
    </xf>
    <xf numFmtId="173" fontId="39" fillId="36" borderId="26" xfId="0" applyNumberFormat="1" applyFont="1" applyFill="1" applyBorder="1" applyAlignment="1">
      <alignment vertical="center"/>
    </xf>
    <xf numFmtId="173" fontId="39" fillId="19" borderId="26" xfId="0" applyNumberFormat="1" applyFont="1" applyFill="1" applyBorder="1" applyAlignment="1">
      <alignment vertical="center"/>
    </xf>
    <xf numFmtId="0" fontId="39" fillId="0" borderId="34" xfId="0" applyFont="1" applyBorder="1" applyAlignment="1">
      <alignment vertical="center"/>
    </xf>
    <xf numFmtId="0" fontId="39" fillId="0" borderId="26" xfId="0" applyFont="1" applyBorder="1" applyAlignment="1">
      <alignment vertical="center"/>
    </xf>
    <xf numFmtId="173" fontId="39" fillId="38" borderId="26" xfId="0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173" fontId="39" fillId="39" borderId="25" xfId="0" applyNumberFormat="1" applyFont="1" applyFill="1" applyBorder="1" applyAlignment="1">
      <alignment vertical="center"/>
    </xf>
    <xf numFmtId="173" fontId="39" fillId="39" borderId="26" xfId="0" applyNumberFormat="1" applyFont="1" applyFill="1" applyBorder="1" applyAlignment="1">
      <alignment vertical="center"/>
    </xf>
    <xf numFmtId="173" fontId="39" fillId="42" borderId="19" xfId="0" applyNumberFormat="1" applyFont="1" applyFill="1" applyBorder="1" applyAlignment="1">
      <alignment vertical="center"/>
    </xf>
    <xf numFmtId="173" fontId="39" fillId="19" borderId="24" xfId="0" applyNumberFormat="1" applyFont="1" applyFill="1" applyBorder="1" applyAlignment="1">
      <alignment vertical="center"/>
    </xf>
    <xf numFmtId="173" fontId="39" fillId="43" borderId="19" xfId="0" applyNumberFormat="1" applyFont="1" applyFill="1" applyBorder="1" applyAlignment="1">
      <alignment vertical="center"/>
    </xf>
    <xf numFmtId="0" fontId="39" fillId="0" borderId="48" xfId="0" applyFont="1" applyBorder="1" applyAlignment="1">
      <alignment horizontal="left" vertical="center"/>
    </xf>
    <xf numFmtId="173" fontId="8" fillId="0" borderId="49" xfId="0" applyNumberFormat="1" applyFont="1" applyBorder="1" applyAlignment="1">
      <alignment vertical="center"/>
    </xf>
    <xf numFmtId="173" fontId="8" fillId="0" borderId="50" xfId="0" applyNumberFormat="1" applyFont="1" applyBorder="1" applyAlignment="1">
      <alignment vertical="center"/>
    </xf>
    <xf numFmtId="173" fontId="45" fillId="0" borderId="50" xfId="0" applyNumberFormat="1" applyFont="1" applyBorder="1" applyAlignment="1">
      <alignment vertical="center"/>
    </xf>
    <xf numFmtId="173" fontId="8" fillId="0" borderId="51" xfId="0" applyNumberFormat="1" applyFont="1" applyBorder="1" applyAlignment="1">
      <alignment vertical="center"/>
    </xf>
    <xf numFmtId="173" fontId="8" fillId="19" borderId="49" xfId="0" applyNumberFormat="1" applyFont="1" applyFill="1" applyBorder="1" applyAlignment="1">
      <alignment vertical="center"/>
    </xf>
    <xf numFmtId="173" fontId="8" fillId="19" borderId="50" xfId="0" applyNumberFormat="1" applyFont="1" applyFill="1" applyBorder="1" applyAlignment="1">
      <alignment vertical="center"/>
    </xf>
    <xf numFmtId="173" fontId="45" fillId="38" borderId="50" xfId="0" applyNumberFormat="1" applyFont="1" applyFill="1" applyBorder="1" applyAlignment="1">
      <alignment vertical="center"/>
    </xf>
    <xf numFmtId="173" fontId="8" fillId="19" borderId="51" xfId="0" applyNumberFormat="1" applyFont="1" applyFill="1" applyBorder="1" applyAlignment="1">
      <alignment vertical="center"/>
    </xf>
    <xf numFmtId="176" fontId="39" fillId="0" borderId="19" xfId="0" applyNumberFormat="1" applyFont="1" applyBorder="1" applyAlignment="1">
      <alignment vertical="center"/>
    </xf>
    <xf numFmtId="0" fontId="39" fillId="44" borderId="20" xfId="0" applyFont="1" applyFill="1" applyBorder="1" applyAlignment="1">
      <alignment horizontal="left" vertical="center"/>
    </xf>
    <xf numFmtId="0" fontId="39" fillId="0" borderId="52" xfId="0" applyFont="1" applyBorder="1" applyAlignment="1">
      <alignment vertical="center"/>
    </xf>
    <xf numFmtId="0" fontId="8" fillId="0" borderId="20" xfId="0" applyFont="1" applyBorder="1" applyAlignment="1">
      <alignment horizontal="left" vertical="center"/>
    </xf>
    <xf numFmtId="173" fontId="8" fillId="0" borderId="0" xfId="0" applyNumberFormat="1" applyFont="1" applyAlignment="1">
      <alignment vertical="center"/>
    </xf>
    <xf numFmtId="173" fontId="8" fillId="0" borderId="21" xfId="0" applyNumberFormat="1" applyFont="1" applyBorder="1" applyAlignment="1">
      <alignment vertical="center"/>
    </xf>
    <xf numFmtId="173" fontId="8" fillId="0" borderId="19" xfId="0" applyNumberFormat="1" applyFont="1" applyBorder="1" applyAlignment="1">
      <alignment vertical="center"/>
    </xf>
    <xf numFmtId="173" fontId="8" fillId="0" borderId="20" xfId="0" applyNumberFormat="1" applyFont="1" applyBorder="1" applyAlignment="1">
      <alignment vertical="center"/>
    </xf>
    <xf numFmtId="0" fontId="8" fillId="0" borderId="44" xfId="0" applyFont="1" applyBorder="1" applyAlignment="1">
      <alignment horizontal="left" vertical="center"/>
    </xf>
    <xf numFmtId="166" fontId="8" fillId="0" borderId="45" xfId="0" applyNumberFormat="1" applyFont="1" applyBorder="1" applyAlignment="1">
      <alignment vertical="center"/>
    </xf>
    <xf numFmtId="166" fontId="8" fillId="0" borderId="46" xfId="0" applyNumberFormat="1" applyFont="1" applyBorder="1" applyAlignment="1">
      <alignment vertical="center"/>
    </xf>
    <xf numFmtId="166" fontId="8" fillId="0" borderId="44" xfId="0" applyNumberFormat="1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4" xfId="0" applyFont="1" applyBorder="1" applyAlignment="1">
      <alignment horizontal="left" vertical="center"/>
    </xf>
    <xf numFmtId="173" fontId="8" fillId="0" borderId="25" xfId="0" applyNumberFormat="1" applyFont="1" applyBorder="1" applyAlignment="1">
      <alignment vertical="center"/>
    </xf>
    <xf numFmtId="173" fontId="8" fillId="0" borderId="26" xfId="0" applyNumberFormat="1" applyFont="1" applyBorder="1" applyAlignment="1">
      <alignment vertical="center"/>
    </xf>
    <xf numFmtId="173" fontId="8" fillId="0" borderId="24" xfId="0" applyNumberFormat="1" applyFont="1" applyBorder="1" applyAlignment="1">
      <alignment vertical="center"/>
    </xf>
    <xf numFmtId="0" fontId="8" fillId="0" borderId="32" xfId="0" applyFont="1" applyBorder="1" applyAlignment="1">
      <alignment horizontal="left" vertical="center"/>
    </xf>
    <xf numFmtId="173" fontId="8" fillId="0" borderId="33" xfId="0" applyNumberFormat="1" applyFont="1" applyBorder="1" applyAlignment="1">
      <alignment vertical="center"/>
    </xf>
    <xf numFmtId="173" fontId="8" fillId="0" borderId="34" xfId="0" applyNumberFormat="1" applyFont="1" applyBorder="1" applyAlignment="1">
      <alignment vertical="center"/>
    </xf>
    <xf numFmtId="173" fontId="8" fillId="0" borderId="32" xfId="0" applyNumberFormat="1" applyFont="1" applyBorder="1" applyAlignment="1">
      <alignment vertical="center"/>
    </xf>
    <xf numFmtId="0" fontId="7" fillId="29" borderId="41" xfId="0" applyFont="1" applyFill="1" applyBorder="1" applyAlignment="1">
      <alignment horizontal="left" vertical="center"/>
    </xf>
    <xf numFmtId="173" fontId="7" fillId="29" borderId="42" xfId="0" applyNumberFormat="1" applyFont="1" applyFill="1" applyBorder="1" applyAlignment="1">
      <alignment vertical="center"/>
    </xf>
    <xf numFmtId="173" fontId="7" fillId="29" borderId="43" xfId="0" applyNumberFormat="1" applyFont="1" applyFill="1" applyBorder="1" applyAlignment="1">
      <alignment vertical="center"/>
    </xf>
    <xf numFmtId="173" fontId="7" fillId="29" borderId="41" xfId="0" applyNumberFormat="1" applyFont="1" applyFill="1" applyBorder="1" applyAlignment="1">
      <alignment vertical="center"/>
    </xf>
    <xf numFmtId="0" fontId="7" fillId="29" borderId="44" xfId="0" applyFont="1" applyFill="1" applyBorder="1" applyAlignment="1">
      <alignment horizontal="left" vertical="center"/>
    </xf>
    <xf numFmtId="166" fontId="7" fillId="29" borderId="45" xfId="0" applyNumberFormat="1" applyFont="1" applyFill="1" applyBorder="1" applyAlignment="1">
      <alignment vertical="center"/>
    </xf>
    <xf numFmtId="166" fontId="7" fillId="29" borderId="46" xfId="0" applyNumberFormat="1" applyFont="1" applyFill="1" applyBorder="1" applyAlignment="1">
      <alignment vertical="center"/>
    </xf>
    <xf numFmtId="166" fontId="7" fillId="29" borderId="44" xfId="0" applyNumberFormat="1" applyFont="1" applyFill="1" applyBorder="1" applyAlignment="1">
      <alignment vertical="center"/>
    </xf>
    <xf numFmtId="0" fontId="43" fillId="7" borderId="41" xfId="0" applyFont="1" applyFill="1" applyBorder="1" applyAlignment="1">
      <alignment horizontal="left" vertical="center"/>
    </xf>
    <xf numFmtId="173" fontId="43" fillId="7" borderId="42" xfId="0" applyNumberFormat="1" applyFont="1" applyFill="1" applyBorder="1" applyAlignment="1">
      <alignment vertical="center"/>
    </xf>
    <xf numFmtId="173" fontId="43" fillId="7" borderId="43" xfId="0" applyNumberFormat="1" applyFont="1" applyFill="1" applyBorder="1" applyAlignment="1">
      <alignment vertical="center"/>
    </xf>
    <xf numFmtId="0" fontId="43" fillId="7" borderId="20" xfId="0" applyFont="1" applyFill="1" applyBorder="1" applyAlignment="1">
      <alignment horizontal="left" vertical="center"/>
    </xf>
    <xf numFmtId="173" fontId="43" fillId="7" borderId="21" xfId="0" applyNumberFormat="1" applyFont="1" applyFill="1" applyBorder="1" applyAlignment="1">
      <alignment vertical="center"/>
    </xf>
    <xf numFmtId="173" fontId="43" fillId="7" borderId="19" xfId="0" applyNumberFormat="1" applyFont="1" applyFill="1" applyBorder="1" applyAlignment="1">
      <alignment vertical="center"/>
    </xf>
    <xf numFmtId="173" fontId="43" fillId="7" borderId="20" xfId="0" applyNumberFormat="1" applyFont="1" applyFill="1" applyBorder="1" applyAlignment="1">
      <alignment vertical="center"/>
    </xf>
    <xf numFmtId="0" fontId="43" fillId="7" borderId="44" xfId="0" applyFont="1" applyFill="1" applyBorder="1" applyAlignment="1">
      <alignment horizontal="left" vertical="center"/>
    </xf>
    <xf numFmtId="173" fontId="43" fillId="7" borderId="45" xfId="0" applyNumberFormat="1" applyFont="1" applyFill="1" applyBorder="1" applyAlignment="1">
      <alignment vertical="center"/>
    </xf>
    <xf numFmtId="173" fontId="43" fillId="7" borderId="46" xfId="0" applyNumberFormat="1" applyFont="1" applyFill="1" applyBorder="1" applyAlignment="1">
      <alignment vertical="center"/>
    </xf>
    <xf numFmtId="173" fontId="43" fillId="7" borderId="44" xfId="0" applyNumberFormat="1" applyFont="1" applyFill="1" applyBorder="1" applyAlignment="1">
      <alignment vertical="center"/>
    </xf>
    <xf numFmtId="0" fontId="8" fillId="19" borderId="24" xfId="0" applyFont="1" applyFill="1" applyBorder="1" applyAlignment="1">
      <alignment horizontal="left" vertical="center"/>
    </xf>
    <xf numFmtId="173" fontId="8" fillId="19" borderId="25" xfId="0" applyNumberFormat="1" applyFont="1" applyFill="1" applyBorder="1" applyAlignment="1">
      <alignment vertical="center"/>
    </xf>
    <xf numFmtId="173" fontId="8" fillId="19" borderId="26" xfId="0" applyNumberFormat="1" applyFont="1" applyFill="1" applyBorder="1" applyAlignment="1">
      <alignment vertical="center"/>
    </xf>
    <xf numFmtId="173" fontId="8" fillId="19" borderId="24" xfId="0" applyNumberFormat="1" applyFont="1" applyFill="1" applyBorder="1" applyAlignment="1">
      <alignment vertical="center"/>
    </xf>
    <xf numFmtId="0" fontId="40" fillId="33" borderId="48" xfId="0" applyFont="1" applyFill="1" applyBorder="1" applyAlignment="1">
      <alignment horizontal="left" vertical="center"/>
    </xf>
    <xf numFmtId="173" fontId="40" fillId="33" borderId="49" xfId="0" applyNumberFormat="1" applyFont="1" applyFill="1" applyBorder="1" applyAlignment="1">
      <alignment vertical="center"/>
    </xf>
    <xf numFmtId="173" fontId="40" fillId="33" borderId="50" xfId="0" applyNumberFormat="1" applyFont="1" applyFill="1" applyBorder="1" applyAlignment="1">
      <alignment vertical="center"/>
    </xf>
    <xf numFmtId="173" fontId="40" fillId="33" borderId="48" xfId="0" applyNumberFormat="1" applyFont="1" applyFill="1" applyBorder="1" applyAlignment="1">
      <alignment vertical="center"/>
    </xf>
    <xf numFmtId="0" fontId="8" fillId="0" borderId="41" xfId="0" applyFont="1" applyBorder="1" applyAlignment="1">
      <alignment horizontal="left" vertical="center"/>
    </xf>
    <xf numFmtId="166" fontId="8" fillId="0" borderId="42" xfId="0" applyNumberFormat="1" applyFont="1" applyBorder="1" applyAlignment="1">
      <alignment vertical="center"/>
    </xf>
    <xf numFmtId="166" fontId="8" fillId="0" borderId="43" xfId="0" applyNumberFormat="1" applyFont="1" applyBorder="1" applyAlignment="1">
      <alignment vertical="center"/>
    </xf>
    <xf numFmtId="166" fontId="8" fillId="0" borderId="41" xfId="0" applyNumberFormat="1" applyFont="1" applyBorder="1" applyAlignment="1">
      <alignment vertical="center"/>
    </xf>
    <xf numFmtId="166" fontId="8" fillId="42" borderId="43" xfId="0" applyNumberFormat="1" applyFont="1" applyFill="1" applyBorder="1" applyAlignment="1">
      <alignment vertical="center"/>
    </xf>
    <xf numFmtId="166" fontId="8" fillId="0" borderId="21" xfId="0" applyNumberFormat="1" applyFont="1" applyBorder="1" applyAlignment="1">
      <alignment vertical="center"/>
    </xf>
    <xf numFmtId="166" fontId="8" fillId="0" borderId="19" xfId="0" applyNumberFormat="1" applyFont="1" applyBorder="1" applyAlignment="1">
      <alignment vertical="center"/>
    </xf>
    <xf numFmtId="166" fontId="8" fillId="0" borderId="20" xfId="0" applyNumberFormat="1" applyFont="1" applyBorder="1" applyAlignment="1">
      <alignment vertical="center"/>
    </xf>
    <xf numFmtId="166" fontId="8" fillId="42" borderId="19" xfId="0" applyNumberFormat="1" applyFont="1" applyFill="1" applyBorder="1" applyAlignment="1">
      <alignment vertical="center"/>
    </xf>
    <xf numFmtId="0" fontId="40" fillId="33" borderId="44" xfId="0" applyFont="1" applyFill="1" applyBorder="1" applyAlignment="1">
      <alignment horizontal="left" vertical="center"/>
    </xf>
    <xf numFmtId="166" fontId="40" fillId="33" borderId="45" xfId="0" applyNumberFormat="1" applyFont="1" applyFill="1" applyBorder="1" applyAlignment="1">
      <alignment vertical="center"/>
    </xf>
    <xf numFmtId="166" fontId="40" fillId="33" borderId="46" xfId="0" applyNumberFormat="1" applyFont="1" applyFill="1" applyBorder="1" applyAlignment="1">
      <alignment vertical="center"/>
    </xf>
    <xf numFmtId="166" fontId="40" fillId="33" borderId="44" xfId="0" applyNumberFormat="1" applyFont="1" applyFill="1" applyBorder="1" applyAlignment="1">
      <alignment vertical="center"/>
    </xf>
    <xf numFmtId="0" fontId="39" fillId="0" borderId="24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173" fontId="8" fillId="0" borderId="38" xfId="0" applyNumberFormat="1" applyFont="1" applyBorder="1" applyAlignment="1">
      <alignment vertical="center"/>
    </xf>
    <xf numFmtId="0" fontId="7" fillId="0" borderId="41" xfId="0" applyFont="1" applyBorder="1" applyAlignment="1">
      <alignment horizontal="left" vertical="center"/>
    </xf>
    <xf numFmtId="173" fontId="7" fillId="0" borderId="42" xfId="0" applyNumberFormat="1" applyFont="1" applyBorder="1" applyAlignment="1">
      <alignment vertical="center"/>
    </xf>
    <xf numFmtId="173" fontId="7" fillId="0" borderId="43" xfId="0" applyNumberFormat="1" applyFont="1" applyBorder="1" applyAlignment="1">
      <alignment vertical="center"/>
    </xf>
    <xf numFmtId="173" fontId="7" fillId="0" borderId="41" xfId="0" applyNumberFormat="1" applyFont="1" applyBorder="1" applyAlignment="1">
      <alignment vertical="center"/>
    </xf>
    <xf numFmtId="177" fontId="8" fillId="0" borderId="44" xfId="0" applyNumberFormat="1" applyFont="1" applyBorder="1" applyAlignment="1">
      <alignment horizontal="left" vertical="center"/>
    </xf>
    <xf numFmtId="173" fontId="8" fillId="0" borderId="52" xfId="0" applyNumberFormat="1" applyFont="1" applyBorder="1" applyAlignment="1">
      <alignment vertical="center"/>
    </xf>
    <xf numFmtId="173" fontId="8" fillId="0" borderId="53" xfId="0" applyNumberFormat="1" applyFont="1" applyBorder="1" applyAlignment="1">
      <alignment vertical="center"/>
    </xf>
    <xf numFmtId="173" fontId="8" fillId="0" borderId="54" xfId="0" applyNumberFormat="1" applyFont="1" applyBorder="1" applyAlignment="1">
      <alignment vertical="center"/>
    </xf>
    <xf numFmtId="173" fontId="8" fillId="0" borderId="16" xfId="0" applyNumberFormat="1" applyFont="1" applyBorder="1" applyAlignment="1">
      <alignment vertical="center"/>
    </xf>
    <xf numFmtId="0" fontId="39" fillId="0" borderId="41" xfId="0" applyFont="1" applyBorder="1" applyAlignment="1">
      <alignment horizontal="left" vertical="center" indent="1"/>
    </xf>
    <xf numFmtId="173" fontId="8" fillId="0" borderId="42" xfId="0" applyNumberFormat="1" applyFont="1" applyBorder="1" applyAlignment="1">
      <alignment vertical="center"/>
    </xf>
    <xf numFmtId="173" fontId="8" fillId="0" borderId="43" xfId="0" applyNumberFormat="1" applyFont="1" applyBorder="1" applyAlignment="1">
      <alignment vertical="center"/>
    </xf>
    <xf numFmtId="173" fontId="8" fillId="0" borderId="55" xfId="0" applyNumberFormat="1" applyFont="1" applyBorder="1" applyAlignment="1">
      <alignment vertical="center"/>
    </xf>
    <xf numFmtId="173" fontId="8" fillId="0" borderId="41" xfId="0" applyNumberFormat="1" applyFont="1" applyBorder="1" applyAlignment="1">
      <alignment vertical="center"/>
    </xf>
    <xf numFmtId="173" fontId="8" fillId="0" borderId="27" xfId="0" applyNumberFormat="1" applyFont="1" applyBorder="1" applyAlignment="1">
      <alignment vertical="center"/>
    </xf>
    <xf numFmtId="0" fontId="8" fillId="0" borderId="16" xfId="0" applyFont="1" applyBorder="1" applyAlignment="1">
      <alignment horizontal="left" vertical="center"/>
    </xf>
    <xf numFmtId="173" fontId="39" fillId="35" borderId="52" xfId="0" applyNumberFormat="1" applyFont="1" applyFill="1" applyBorder="1" applyAlignment="1">
      <alignment vertical="center"/>
    </xf>
    <xf numFmtId="173" fontId="39" fillId="35" borderId="53" xfId="0" applyNumberFormat="1" applyFont="1" applyFill="1" applyBorder="1" applyAlignment="1">
      <alignment vertical="center"/>
    </xf>
    <xf numFmtId="173" fontId="39" fillId="0" borderId="16" xfId="0" applyNumberFormat="1" applyFont="1" applyBorder="1" applyAlignment="1">
      <alignment vertical="center"/>
    </xf>
    <xf numFmtId="0" fontId="8" fillId="0" borderId="23" xfId="0" applyFont="1" applyBorder="1" applyAlignment="1">
      <alignment horizontal="left" vertical="center"/>
    </xf>
    <xf numFmtId="173" fontId="8" fillId="0" borderId="29" xfId="0" applyNumberFormat="1" applyFont="1" applyBorder="1" applyAlignment="1">
      <alignment vertical="center"/>
    </xf>
    <xf numFmtId="173" fontId="8" fillId="0" borderId="30" xfId="0" applyNumberFormat="1" applyFont="1" applyBorder="1" applyAlignment="1">
      <alignment vertical="center"/>
    </xf>
    <xf numFmtId="173" fontId="8" fillId="0" borderId="31" xfId="0" applyNumberFormat="1" applyFont="1" applyBorder="1" applyAlignment="1">
      <alignment vertical="center"/>
    </xf>
    <xf numFmtId="173" fontId="8" fillId="0" borderId="23" xfId="0" applyNumberFormat="1" applyFont="1" applyBorder="1" applyAlignment="1">
      <alignment vertical="center"/>
    </xf>
    <xf numFmtId="173" fontId="8" fillId="35" borderId="29" xfId="0" applyNumberFormat="1" applyFont="1" applyFill="1" applyBorder="1" applyAlignment="1">
      <alignment vertical="center"/>
    </xf>
    <xf numFmtId="173" fontId="39" fillId="35" borderId="30" xfId="0" applyNumberFormat="1" applyFont="1" applyFill="1" applyBorder="1" applyAlignment="1">
      <alignment vertical="center"/>
    </xf>
    <xf numFmtId="0" fontId="8" fillId="0" borderId="28" xfId="0" applyFont="1" applyBorder="1" applyAlignment="1">
      <alignment horizontal="left" vertical="center"/>
    </xf>
    <xf numFmtId="173" fontId="8" fillId="0" borderId="37" xfId="0" applyNumberFormat="1" applyFont="1" applyBorder="1" applyAlignment="1">
      <alignment vertical="center"/>
    </xf>
    <xf numFmtId="173" fontId="8" fillId="0" borderId="39" xfId="0" applyNumberFormat="1" applyFont="1" applyBorder="1" applyAlignment="1">
      <alignment vertical="center"/>
    </xf>
    <xf numFmtId="173" fontId="8" fillId="0" borderId="28" xfId="0" applyNumberFormat="1" applyFont="1" applyBorder="1" applyAlignment="1">
      <alignment vertical="center"/>
    </xf>
    <xf numFmtId="173" fontId="8" fillId="35" borderId="37" xfId="0" applyNumberFormat="1" applyFont="1" applyFill="1" applyBorder="1" applyAlignment="1">
      <alignment vertical="center"/>
    </xf>
    <xf numFmtId="173" fontId="39" fillId="35" borderId="38" xfId="0" applyNumberFormat="1" applyFont="1" applyFill="1" applyBorder="1" applyAlignment="1">
      <alignment vertical="center"/>
    </xf>
    <xf numFmtId="173" fontId="39" fillId="0" borderId="28" xfId="0" applyNumberFormat="1" applyFont="1" applyBorder="1" applyAlignment="1">
      <alignment vertical="center"/>
    </xf>
    <xf numFmtId="0" fontId="8" fillId="0" borderId="56" xfId="0" applyFont="1" applyBorder="1" applyAlignment="1">
      <alignment horizontal="left" vertical="center"/>
    </xf>
    <xf numFmtId="173" fontId="8" fillId="0" borderId="57" xfId="0" applyNumberFormat="1" applyFont="1" applyBorder="1" applyAlignment="1">
      <alignment vertical="center"/>
    </xf>
    <xf numFmtId="173" fontId="8" fillId="0" borderId="58" xfId="0" applyNumberFormat="1" applyFont="1" applyBorder="1" applyAlignment="1">
      <alignment vertical="center"/>
    </xf>
    <xf numFmtId="173" fontId="8" fillId="0" borderId="59" xfId="0" applyNumberFormat="1" applyFont="1" applyBorder="1" applyAlignment="1">
      <alignment vertical="center"/>
    </xf>
    <xf numFmtId="173" fontId="8" fillId="0" borderId="56" xfId="0" applyNumberFormat="1" applyFont="1" applyBorder="1" applyAlignment="1">
      <alignment vertical="center"/>
    </xf>
    <xf numFmtId="173" fontId="39" fillId="35" borderId="60" xfId="0" applyNumberFormat="1" applyFont="1" applyFill="1" applyBorder="1" applyAlignment="1">
      <alignment vertical="center"/>
    </xf>
    <xf numFmtId="173" fontId="39" fillId="35" borderId="61" xfId="0" applyNumberFormat="1" applyFont="1" applyFill="1" applyBorder="1" applyAlignment="1">
      <alignment vertical="center"/>
    </xf>
    <xf numFmtId="173" fontId="39" fillId="0" borderId="62" xfId="0" applyNumberFormat="1" applyFont="1" applyBorder="1" applyAlignment="1">
      <alignment vertical="center"/>
    </xf>
    <xf numFmtId="0" fontId="16" fillId="9" borderId="34" xfId="0" applyFont="1" applyFill="1" applyBorder="1" applyAlignment="1">
      <alignment horizontal="center" vertical="center" wrapText="1"/>
    </xf>
    <xf numFmtId="0" fontId="17" fillId="19" borderId="34" xfId="0" applyFont="1" applyFill="1" applyBorder="1" applyAlignment="1">
      <alignment horizontal="center" vertical="center" wrapText="1"/>
    </xf>
    <xf numFmtId="0" fontId="17" fillId="19" borderId="54" xfId="0" applyFont="1" applyFill="1" applyBorder="1" applyAlignment="1">
      <alignment horizontal="center" vertical="center" wrapText="1"/>
    </xf>
    <xf numFmtId="165" fontId="18" fillId="0" borderId="4" xfId="0" applyNumberFormat="1" applyFont="1" applyBorder="1"/>
    <xf numFmtId="0" fontId="18" fillId="0" borderId="4" xfId="0" applyFont="1" applyBorder="1"/>
    <xf numFmtId="170" fontId="18" fillId="0" borderId="4" xfId="0" applyNumberFormat="1" applyFont="1" applyBorder="1"/>
    <xf numFmtId="167" fontId="1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167" fontId="18" fillId="19" borderId="4" xfId="0" applyNumberFormat="1" applyFont="1" applyFill="1" applyBorder="1" applyAlignment="1">
      <alignment horizontal="center"/>
    </xf>
    <xf numFmtId="178" fontId="18" fillId="0" borderId="0" xfId="0" applyNumberFormat="1" applyFont="1"/>
    <xf numFmtId="169" fontId="18" fillId="0" borderId="4" xfId="0" applyNumberFormat="1" applyFont="1" applyBorder="1"/>
    <xf numFmtId="0" fontId="47" fillId="0" borderId="2" xfId="0" applyFont="1" applyBorder="1" applyAlignment="1">
      <alignment horizontal="center"/>
    </xf>
    <xf numFmtId="0" fontId="29" fillId="0" borderId="0" xfId="0" applyFont="1"/>
    <xf numFmtId="0" fontId="46" fillId="0" borderId="2" xfId="0" applyFont="1" applyBorder="1" applyAlignment="1">
      <alignment horizontal="left"/>
    </xf>
    <xf numFmtId="177" fontId="46" fillId="0" borderId="2" xfId="0" applyNumberFormat="1" applyFont="1" applyBorder="1" applyAlignment="1">
      <alignment horizontal="right"/>
    </xf>
    <xf numFmtId="0" fontId="46" fillId="0" borderId="2" xfId="0" applyFont="1" applyBorder="1" applyAlignment="1">
      <alignment horizontal="right"/>
    </xf>
    <xf numFmtId="39" fontId="46" fillId="0" borderId="2" xfId="0" applyNumberFormat="1" applyFont="1" applyBorder="1" applyAlignment="1">
      <alignment horizontal="right"/>
    </xf>
    <xf numFmtId="0" fontId="46" fillId="14" borderId="2" xfId="0" applyFont="1" applyFill="1" applyBorder="1" applyAlignment="1">
      <alignment horizontal="left"/>
    </xf>
    <xf numFmtId="39" fontId="46" fillId="14" borderId="2" xfId="0" applyNumberFormat="1" applyFont="1" applyFill="1" applyBorder="1" applyAlignment="1">
      <alignment horizontal="right"/>
    </xf>
    <xf numFmtId="0" fontId="46" fillId="14" borderId="2" xfId="0" applyFont="1" applyFill="1" applyBorder="1" applyAlignment="1">
      <alignment horizontal="right"/>
    </xf>
    <xf numFmtId="0" fontId="46" fillId="0" borderId="0" xfId="0" applyFont="1" applyAlignment="1">
      <alignment horizontal="left"/>
    </xf>
    <xf numFmtId="0" fontId="46" fillId="0" borderId="0" xfId="0" applyFont="1" applyAlignment="1">
      <alignment horizontal="right"/>
    </xf>
    <xf numFmtId="0" fontId="47" fillId="0" borderId="0" xfId="0" applyFont="1" applyAlignment="1">
      <alignment horizontal="left"/>
    </xf>
    <xf numFmtId="0" fontId="47" fillId="0" borderId="2" xfId="0" applyFont="1" applyBorder="1" applyAlignment="1">
      <alignment horizontal="left"/>
    </xf>
    <xf numFmtId="39" fontId="47" fillId="0" borderId="2" xfId="0" applyNumberFormat="1" applyFont="1" applyBorder="1" applyAlignment="1">
      <alignment horizontal="right"/>
    </xf>
    <xf numFmtId="175" fontId="29" fillId="32" borderId="4" xfId="0" applyNumberFormat="1" applyFont="1" applyFill="1" applyBorder="1" applyAlignment="1">
      <alignment horizontal="center" vertical="center"/>
    </xf>
    <xf numFmtId="0" fontId="29" fillId="32" borderId="4" xfId="0" applyFont="1" applyFill="1" applyBorder="1" applyAlignment="1">
      <alignment horizontal="center" vertical="center"/>
    </xf>
    <xf numFmtId="0" fontId="48" fillId="45" borderId="0" xfId="0" applyFont="1" applyFill="1"/>
    <xf numFmtId="170" fontId="8" fillId="46" borderId="4" xfId="0" applyNumberFormat="1" applyFont="1" applyFill="1" applyBorder="1"/>
    <xf numFmtId="170" fontId="8" fillId="0" borderId="4" xfId="0" applyNumberFormat="1" applyFont="1" applyBorder="1"/>
    <xf numFmtId="170" fontId="0" fillId="0" borderId="4" xfId="0" applyNumberFormat="1" applyBorder="1"/>
    <xf numFmtId="0" fontId="0" fillId="19" borderId="4" xfId="0" applyFill="1" applyBorder="1"/>
    <xf numFmtId="0" fontId="29" fillId="47" borderId="4" xfId="0" applyFont="1" applyFill="1" applyBorder="1"/>
    <xf numFmtId="170" fontId="29" fillId="47" borderId="4" xfId="0" applyNumberFormat="1" applyFont="1" applyFill="1" applyBorder="1"/>
    <xf numFmtId="0" fontId="29" fillId="48" borderId="0" xfId="0" applyFont="1" applyFill="1"/>
    <xf numFmtId="0" fontId="8" fillId="0" borderId="4" xfId="0" applyFont="1" applyBorder="1" applyAlignment="1">
      <alignment horizontal="left" vertical="center"/>
    </xf>
    <xf numFmtId="179" fontId="49" fillId="15" borderId="4" xfId="0" applyNumberFormat="1" applyFont="1" applyFill="1" applyBorder="1" applyAlignment="1">
      <alignment horizontal="center" vertical="center"/>
    </xf>
    <xf numFmtId="0" fontId="0" fillId="43" borderId="4" xfId="0" applyFill="1" applyBorder="1"/>
    <xf numFmtId="170" fontId="8" fillId="0" borderId="0" xfId="0" applyNumberFormat="1" applyFont="1"/>
    <xf numFmtId="170" fontId="7" fillId="47" borderId="4" xfId="0" applyNumberFormat="1" applyFont="1" applyFill="1" applyBorder="1"/>
    <xf numFmtId="180" fontId="0" fillId="0" borderId="4" xfId="0" applyNumberFormat="1" applyBorder="1"/>
    <xf numFmtId="0" fontId="0" fillId="41" borderId="4" xfId="0" applyFill="1" applyBorder="1"/>
    <xf numFmtId="178" fontId="0" fillId="0" borderId="4" xfId="0" applyNumberFormat="1" applyBorder="1"/>
    <xf numFmtId="178" fontId="0" fillId="19" borderId="4" xfId="0" applyNumberFormat="1" applyFill="1" applyBorder="1"/>
    <xf numFmtId="0" fontId="50" fillId="23" borderId="4" xfId="0" applyFont="1" applyFill="1" applyBorder="1"/>
    <xf numFmtId="0" fontId="29" fillId="23" borderId="4" xfId="0" applyFont="1" applyFill="1" applyBorder="1"/>
    <xf numFmtId="178" fontId="29" fillId="23" borderId="4" xfId="0" applyNumberFormat="1" applyFont="1" applyFill="1" applyBorder="1"/>
    <xf numFmtId="170" fontId="7" fillId="23" borderId="4" xfId="0" applyNumberFormat="1" applyFont="1" applyFill="1" applyBorder="1"/>
    <xf numFmtId="0" fontId="27" fillId="49" borderId="3" xfId="0" applyFont="1" applyFill="1" applyBorder="1" applyAlignment="1">
      <alignment horizontal="left" vertical="center"/>
    </xf>
    <xf numFmtId="171" fontId="27" fillId="49" borderId="3" xfId="0" applyNumberFormat="1" applyFont="1" applyFill="1" applyBorder="1" applyAlignment="1">
      <alignment horizontal="right" vertical="center"/>
    </xf>
    <xf numFmtId="172" fontId="27" fillId="49" borderId="3" xfId="0" applyNumberFormat="1" applyFont="1" applyFill="1" applyBorder="1" applyAlignment="1">
      <alignment horizontal="right" vertical="center"/>
    </xf>
    <xf numFmtId="171" fontId="27" fillId="50" borderId="3" xfId="0" applyNumberFormat="1" applyFont="1" applyFill="1" applyBorder="1" applyAlignment="1">
      <alignment horizontal="right" vertical="center"/>
    </xf>
    <xf numFmtId="0" fontId="51" fillId="0" borderId="4" xfId="0" applyFont="1" applyBorder="1"/>
    <xf numFmtId="178" fontId="51" fillId="0" borderId="4" xfId="0" applyNumberFormat="1" applyFont="1" applyBorder="1"/>
    <xf numFmtId="38" fontId="52" fillId="0" borderId="4" xfId="0" applyNumberFormat="1" applyFont="1" applyBorder="1"/>
    <xf numFmtId="0" fontId="7" fillId="51" borderId="0" xfId="0" applyFont="1" applyFill="1" applyAlignment="1">
      <alignment horizontal="left" vertical="center"/>
    </xf>
    <xf numFmtId="9" fontId="3" fillId="52" borderId="0" xfId="0" applyNumberFormat="1" applyFont="1" applyFill="1" applyAlignment="1">
      <alignment horizontal="center" vertical="center"/>
    </xf>
    <xf numFmtId="0" fontId="8" fillId="53" borderId="0" xfId="0" applyFont="1" applyFill="1" applyAlignment="1">
      <alignment horizontal="center" vertical="center"/>
    </xf>
    <xf numFmtId="165" fontId="8" fillId="53" borderId="0" xfId="0" applyNumberFormat="1" applyFont="1" applyFill="1" applyAlignment="1">
      <alignment horizontal="right" vertical="center"/>
    </xf>
    <xf numFmtId="166" fontId="8" fillId="53" borderId="0" xfId="0" applyNumberFormat="1" applyFont="1" applyFill="1" applyAlignment="1">
      <alignment horizontal="right" vertical="center"/>
    </xf>
    <xf numFmtId="0" fontId="0" fillId="53" borderId="0" xfId="0" applyFill="1"/>
    <xf numFmtId="0" fontId="8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66" xfId="0" applyFont="1" applyFill="1" applyBorder="1" applyAlignment="1">
      <alignment horizontal="left" vertical="center"/>
    </xf>
    <xf numFmtId="0" fontId="6" fillId="5" borderId="66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6" borderId="64" xfId="0" applyNumberFormat="1" applyFont="1" applyFill="1" applyBorder="1" applyAlignment="1">
      <alignment horizontal="center" vertical="center"/>
    </xf>
    <xf numFmtId="164" fontId="4" fillId="6" borderId="66" xfId="0" applyNumberFormat="1" applyFont="1" applyFill="1" applyBorder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4" fillId="6" borderId="68" xfId="0" applyNumberFormat="1" applyFont="1" applyFill="1" applyBorder="1" applyAlignment="1">
      <alignment horizontal="center" vertical="center"/>
    </xf>
    <xf numFmtId="164" fontId="4" fillId="6" borderId="69" xfId="0" applyNumberFormat="1" applyFont="1" applyFill="1" applyBorder="1" applyAlignment="1">
      <alignment horizontal="center" vertical="center"/>
    </xf>
    <xf numFmtId="164" fontId="4" fillId="6" borderId="71" xfId="0" applyNumberFormat="1" applyFont="1" applyFill="1" applyBorder="1" applyAlignment="1">
      <alignment horizontal="center" vertical="center"/>
    </xf>
    <xf numFmtId="0" fontId="0" fillId="6" borderId="69" xfId="0" applyFill="1" applyBorder="1"/>
    <xf numFmtId="0" fontId="0" fillId="6" borderId="70" xfId="0" applyFill="1" applyBorder="1"/>
    <xf numFmtId="0" fontId="0" fillId="6" borderId="0" xfId="0" applyFill="1"/>
    <xf numFmtId="0" fontId="0" fillId="6" borderId="63" xfId="0" applyFill="1" applyBorder="1"/>
    <xf numFmtId="0" fontId="5" fillId="6" borderId="65" xfId="0" applyFont="1" applyFill="1" applyBorder="1" applyAlignment="1">
      <alignment horizontal="center" vertical="center"/>
    </xf>
    <xf numFmtId="165" fontId="5" fillId="6" borderId="65" xfId="0" applyNumberFormat="1" applyFont="1" applyFill="1" applyBorder="1" applyAlignment="1">
      <alignment horizontal="center" vertical="center"/>
    </xf>
    <xf numFmtId="165" fontId="5" fillId="6" borderId="67" xfId="0" applyNumberFormat="1" applyFont="1" applyFill="1" applyBorder="1" applyAlignment="1">
      <alignment horizontal="center" vertical="center"/>
    </xf>
    <xf numFmtId="0" fontId="5" fillId="6" borderId="72" xfId="0" applyFont="1" applyFill="1" applyBorder="1" applyAlignment="1">
      <alignment horizontal="center" vertical="center"/>
    </xf>
    <xf numFmtId="0" fontId="5" fillId="6" borderId="73" xfId="0" applyFont="1" applyFill="1" applyBorder="1" applyAlignment="1">
      <alignment horizontal="center" vertical="center"/>
    </xf>
    <xf numFmtId="0" fontId="0" fillId="6" borderId="73" xfId="0" applyFill="1" applyBorder="1"/>
    <xf numFmtId="0" fontId="0" fillId="6" borderId="74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3" fontId="4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left" vertical="center"/>
    </xf>
    <xf numFmtId="0" fontId="16" fillId="21" borderId="1" xfId="0" applyFont="1" applyFill="1" applyBorder="1" applyAlignment="1">
      <alignment horizontal="left" vertical="center"/>
    </xf>
    <xf numFmtId="0" fontId="15" fillId="16" borderId="1" xfId="0" applyFont="1" applyFill="1" applyBorder="1" applyAlignment="1">
      <alignment horizontal="left" vertical="center"/>
    </xf>
    <xf numFmtId="0" fontId="15" fillId="16" borderId="0" xfId="0" applyFont="1" applyFill="1" applyAlignment="1">
      <alignment horizontal="left" vertical="center"/>
    </xf>
    <xf numFmtId="0" fontId="12" fillId="12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30" fillId="2" borderId="0" xfId="0" applyFont="1" applyFill="1" applyAlignment="1">
      <alignment horizontal="left" vertical="center" indent="1"/>
    </xf>
    <xf numFmtId="0" fontId="34" fillId="0" borderId="0" xfId="0" applyFont="1" applyAlignment="1">
      <alignment horizontal="left" vertical="top" wrapText="1" indent="1"/>
    </xf>
    <xf numFmtId="175" fontId="37" fillId="33" borderId="8" xfId="0" applyNumberFormat="1" applyFont="1" applyFill="1" applyBorder="1" applyAlignment="1">
      <alignment horizontal="center" vertical="center" wrapText="1"/>
    </xf>
    <xf numFmtId="175" fontId="37" fillId="34" borderId="8" xfId="0" applyNumberFormat="1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wrapText="1"/>
    </xf>
    <xf numFmtId="0" fontId="0" fillId="0" borderId="4" xfId="0" applyBorder="1" applyAlignment="1">
      <alignment horizontal="center"/>
    </xf>
    <xf numFmtId="183" fontId="0" fillId="0" borderId="4" xfId="1" applyNumberFormat="1" applyFont="1" applyBorder="1"/>
    <xf numFmtId="183" fontId="0" fillId="19" borderId="4" xfId="0" applyNumberFormat="1" applyFill="1" applyBorder="1"/>
  </cellXfs>
  <cellStyles count="2">
    <cellStyle name="Comma" xfId="1" builtinId="3"/>
    <cellStyle name="Normal" xfId="0" builtinId="0"/>
  </cellStyles>
  <dxfs count="1"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9D9D9"/>
      <rgbColor rgb="FF0000FF"/>
      <rgbColor rgb="FFFFFF00"/>
      <rgbColor rgb="FFFED4F6"/>
      <rgbColor rgb="FFB7DEE8"/>
      <rgbColor rgb="FFC00000"/>
      <rgbColor rgb="FFD9E1F2"/>
      <rgbColor rgb="FFF2F2F2"/>
      <rgbColor rgb="FF548235"/>
      <rgbColor rgb="FFDCE6F2"/>
      <rgbColor rgb="FF089985"/>
      <rgbColor rgb="FFBFBFBF"/>
      <rgbColor rgb="FF808080"/>
      <rgbColor rgb="FF8FAADC"/>
      <rgbColor rgb="FF8E3637"/>
      <rgbColor rgb="FFFFF4D6"/>
      <rgbColor rgb="FFD3FEFF"/>
      <rgbColor rgb="FFF2EAD3"/>
      <rgbColor rgb="FFA6A6A6"/>
      <rgbColor rgb="FF0070C0"/>
      <rgbColor rgb="FFCADCFC"/>
      <rgbColor rgb="FFF2F4F8"/>
      <rgbColor rgb="FFE6E0EC"/>
      <rgbColor rgb="FFFFF2CC"/>
      <rgbColor rgb="FFBDD7EE"/>
      <rgbColor rgb="FFFCE4D6"/>
      <rgbColor rgb="FFEE0000"/>
      <rgbColor rgb="FF1F4E78"/>
      <rgbColor rgb="FFFDEADA"/>
      <rgbColor rgb="FF5596D2"/>
      <rgbColor rgb="FFDBEEF4"/>
      <rgbColor rgb="FFEBF1DE"/>
      <rgbColor rgb="FFFFE699"/>
      <rgbColor rgb="FF8DB4E3"/>
      <rgbColor rgb="FFE6B9B8"/>
      <rgbColor rgb="FFCCC1DA"/>
      <rgbColor rgb="FFFCD5B5"/>
      <rgbColor rgb="FF2E75B6"/>
      <rgbColor rgb="FF54A4CC"/>
      <rgbColor rgb="FF92D050"/>
      <rgbColor rgb="FFFFC000"/>
      <rgbColor rgb="FF948A54"/>
      <rgbColor rgb="FFED7D31"/>
      <rgbColor rgb="FF636363"/>
      <rgbColor rgb="FF999999"/>
      <rgbColor rgb="FF1F3864"/>
      <rgbColor rgb="FF70AD47"/>
      <rgbColor rgb="FFEEECE1"/>
      <rgbColor rgb="FF465537"/>
      <rgbColor rgb="FFF2DCDB"/>
      <rgbColor rgb="FFCCCCCC"/>
      <rgbColor rgb="FF305496"/>
      <rgbColor rgb="FF1E27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M63"/>
  <sheetViews>
    <sheetView showGridLines="0" topLeftCell="A34" zoomScaleNormal="100" workbookViewId="0">
      <selection activeCell="G8" sqref="G8:I8"/>
    </sheetView>
  </sheetViews>
  <sheetFormatPr defaultColWidth="8.7109375" defaultRowHeight="15"/>
  <cols>
    <col min="1" max="1" width="22" customWidth="1"/>
    <col min="2" max="2" width="19.7109375" customWidth="1"/>
    <col min="3" max="3" width="20.140625" customWidth="1"/>
    <col min="4" max="4" width="18.85546875" customWidth="1"/>
    <col min="5" max="5" width="24.28515625" customWidth="1"/>
    <col min="6" max="6" width="14" customWidth="1"/>
    <col min="7" max="8" width="16" customWidth="1"/>
    <col min="9" max="9" width="14" customWidth="1"/>
    <col min="10" max="10" width="16" customWidth="1"/>
    <col min="11" max="12" width="14" customWidth="1"/>
    <col min="13" max="13" width="12" customWidth="1"/>
  </cols>
  <sheetData>
    <row r="1" spans="1:13" ht="30" customHeight="1">
      <c r="A1" s="470" t="s">
        <v>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</row>
    <row r="2" spans="1:13" ht="30" customHeight="1">
      <c r="A2" s="470"/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</row>
    <row r="3" spans="1:13" ht="21.75" customHeight="1">
      <c r="A3" s="471" t="str">
        <f>"Period: May-26 to Dec-27  |  Currency: SAR  |  Last refresh: " &amp; TEXT('Pipeline Report'!H2,"dd-mmm-yyyy")</f>
        <v>Period: May-26 to Dec-27  |  Currency: SAR  |  Last refresh: 05-May-2026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</row>
    <row r="4" spans="1:13" ht="6" customHeight="1"/>
    <row r="5" spans="1:13" ht="24" customHeight="1">
      <c r="A5" s="466" t="s">
        <v>1</v>
      </c>
      <c r="B5" s="466"/>
      <c r="C5" s="466"/>
      <c r="D5" s="472" t="s">
        <v>2</v>
      </c>
      <c r="E5" s="472"/>
      <c r="F5" s="472"/>
      <c r="G5" s="473" t="s">
        <v>3</v>
      </c>
      <c r="H5" s="473"/>
      <c r="I5" s="473"/>
      <c r="J5" s="474" t="s">
        <v>4</v>
      </c>
      <c r="K5" s="474"/>
      <c r="L5" s="474"/>
    </row>
    <row r="6" spans="1:13" ht="36" customHeight="1">
      <c r="A6" s="450">
        <f>'Pipeline Report'!AH67</f>
        <v>43332713.666666672</v>
      </c>
      <c r="B6" s="450"/>
      <c r="C6" s="450"/>
      <c r="D6" s="450">
        <f>SUMIFS('Pipeline Report'!AI6:AI65,'Pipeline Report'!E6:E65,"&gt;=0.75")</f>
        <v>20217983.333333332</v>
      </c>
      <c r="E6" s="450"/>
      <c r="F6" s="450"/>
      <c r="G6" s="450">
        <f>'Pipeline Report'!AH137</f>
        <v>10833178.416666668</v>
      </c>
      <c r="H6" s="450"/>
      <c r="I6" s="450"/>
      <c r="J6" s="468">
        <f>'Pipeline Report'!G171</f>
        <v>88870</v>
      </c>
      <c r="K6" s="468"/>
      <c r="L6" s="468"/>
    </row>
    <row r="7" spans="1:13" ht="36" customHeight="1">
      <c r="A7" s="450"/>
      <c r="B7" s="450"/>
      <c r="C7" s="450"/>
      <c r="D7" s="450"/>
      <c r="E7" s="450"/>
      <c r="F7" s="450"/>
      <c r="G7" s="450"/>
      <c r="H7" s="450"/>
      <c r="I7" s="450"/>
      <c r="J7" s="468"/>
      <c r="K7" s="468"/>
      <c r="L7" s="468"/>
    </row>
    <row r="8" spans="1:13" ht="18" customHeight="1">
      <c r="A8" s="469" t="str">
        <f>"Unweighted: " &amp; TEXT('Pipeline Report'!AH66,"#,##0,,") &amp; "M SAR"</f>
        <v>Unweighted: 64M SAR</v>
      </c>
      <c r="B8" s="469"/>
      <c r="C8" s="469"/>
      <c r="D8" s="469" t="str">
        <f>"Across " &amp; SUMPRODUCT(('Pipeline Report'!E6:E65&gt;=0.75)*('Pipeline Report'!B6:B65&lt;&gt;"")) &amp; " near-term deals"</f>
        <v>Across 18 near-term deals</v>
      </c>
      <c r="E8" s="469"/>
      <c r="F8" s="469"/>
      <c r="G8" s="469" t="str">
        <f>"Unweighted GP: " &amp; TEXT('Pipeline Report'!AH136,"#,##0,,") &amp; "M  |  Margin: " &amp; TEXT('Pipeline Report'!AH138,"0.0%")</f>
        <v>Unweighted GP: 16M  |  Margin: 25.0%</v>
      </c>
      <c r="H8" s="469"/>
      <c r="I8" s="469"/>
      <c r="J8" s="469" t="str">
        <f>"Committed by Dec-26: " &amp; TEXT('Pipeline Report'!S183,"#,##0") &amp; " pallets (" &amp; TEXT('Pipeline Report'!S185,"0.0%") &amp; " utilization)"</f>
        <v>Committed by Dec-26: 24,220 pallets (27.3% utilization)</v>
      </c>
      <c r="K8" s="469"/>
      <c r="L8" s="469"/>
    </row>
    <row r="9" spans="1:13" ht="18" customHeight="1"/>
    <row r="10" spans="1:13" ht="25.5" customHeight="1">
      <c r="A10" s="441" t="s">
        <v>5</v>
      </c>
      <c r="B10" s="441"/>
      <c r="C10" s="441"/>
      <c r="D10" s="441"/>
      <c r="E10" s="441"/>
      <c r="F10" s="441"/>
      <c r="G10" s="441"/>
      <c r="H10" s="441"/>
      <c r="I10" s="441"/>
      <c r="J10" s="441"/>
      <c r="K10" s="441"/>
      <c r="L10" s="441"/>
    </row>
    <row r="11" spans="1:13" ht="24" customHeight="1">
      <c r="A11" s="465" t="s">
        <v>6</v>
      </c>
      <c r="B11" s="465"/>
      <c r="C11" s="465"/>
      <c r="D11" s="465" t="s">
        <v>7</v>
      </c>
      <c r="E11" s="465"/>
      <c r="F11" s="465"/>
      <c r="G11" s="466" t="s">
        <v>8</v>
      </c>
      <c r="H11" s="466"/>
      <c r="I11" s="466"/>
      <c r="J11" s="467"/>
      <c r="K11" s="467"/>
      <c r="L11" s="467"/>
    </row>
    <row r="12" spans="1:13" ht="36" customHeight="1">
      <c r="A12" s="447">
        <f>'Forecast +75% - 100%'!P11</f>
        <v>-12255269.456666663</v>
      </c>
      <c r="B12" s="447"/>
      <c r="C12" s="447"/>
      <c r="D12" s="447">
        <f>'Forecast +75% - 100%'!P19</f>
        <v>-6454619.5792217217</v>
      </c>
      <c r="E12" s="447"/>
      <c r="F12" s="449"/>
      <c r="G12" s="451">
        <f>'Forecast +75% - 100%'!P23</f>
        <v>3148980</v>
      </c>
      <c r="H12" s="452"/>
      <c r="I12" s="452"/>
      <c r="J12" s="454"/>
      <c r="K12" s="454"/>
      <c r="L12" s="455"/>
    </row>
    <row r="13" spans="1:13" ht="36" customHeight="1">
      <c r="A13" s="448"/>
      <c r="B13" s="448"/>
      <c r="C13" s="448"/>
      <c r="D13" s="448"/>
      <c r="E13" s="448"/>
      <c r="F13" s="450"/>
      <c r="G13" s="453"/>
      <c r="H13" s="450"/>
      <c r="I13" s="450"/>
      <c r="J13" s="456"/>
      <c r="K13" s="456"/>
      <c r="L13" s="457"/>
    </row>
    <row r="14" spans="1:13" ht="18" customHeight="1">
      <c r="A14" s="458" t="str">
        <f>"Forecast: " &amp; TEXT('Forecast +75% - 100%'!P9,"#,##0.0,,") &amp; "M  |  Budget: " &amp; TEXT('Forecast +75% - 100%'!P10,"#,##0.0,,") &amp; "M SAR"</f>
        <v>Forecast: 92.8M  |  Budget: 106.0M SAR</v>
      </c>
      <c r="B14" s="458"/>
      <c r="C14" s="458"/>
      <c r="D14" s="459" t="str">
        <f>"Forecast GP: " &amp; TEXT('Forecast +75% - 100%'!P17,"#,##0.0,,") &amp; "M  |  Budget GP: " &amp; TEXT('Forecast +75% - 100%'!P18,"#,##0.0,,") &amp; "M SAR"</f>
        <v>Forecast GP: 7.1M  |  Budget GP: 13.6M SAR</v>
      </c>
      <c r="E14" s="459"/>
      <c r="F14" s="460"/>
      <c r="G14" s="461" t="str">
        <f>"If " &amp; TEXT('Forecast +75% - 100%'!O21,"#,##0") &amp; " pallets stay unsold @ " &amp; TEXT('Forecast +75% - 100%'!O22,"#,##0") &amp; " SAR/pallet/mo"</f>
        <v>If 64,650 pallets stay unsold @ 48 SAR/pallet/mo</v>
      </c>
      <c r="H14" s="462"/>
      <c r="I14" s="462"/>
      <c r="J14" s="463"/>
      <c r="K14" s="463"/>
      <c r="L14" s="464"/>
    </row>
    <row r="15" spans="1:13" ht="18" customHeight="1">
      <c r="A15" s="432"/>
      <c r="B15" s="433"/>
      <c r="C15" s="434"/>
      <c r="D15" s="435"/>
      <c r="E15" s="435"/>
      <c r="F15" s="436"/>
      <c r="G15" s="437"/>
    </row>
    <row r="16" spans="1:13" ht="25.5" customHeight="1">
      <c r="A16" s="442" t="s">
        <v>9</v>
      </c>
      <c r="B16" s="442"/>
      <c r="C16" s="442"/>
      <c r="D16" s="442"/>
      <c r="E16" s="442"/>
      <c r="F16" s="442"/>
    </row>
    <row r="17" spans="1:8" ht="21.75" customHeight="1">
      <c r="A17" s="6" t="s">
        <v>10</v>
      </c>
      <c r="B17" s="6" t="s">
        <v>11</v>
      </c>
      <c r="C17" s="6" t="s">
        <v>12</v>
      </c>
      <c r="D17" s="6" t="s">
        <v>13</v>
      </c>
      <c r="E17" s="6" t="s">
        <v>14</v>
      </c>
      <c r="F17" s="6" t="s">
        <v>15</v>
      </c>
    </row>
    <row r="18" spans="1:8" ht="19.5" customHeight="1">
      <c r="A18" s="7" t="s">
        <v>16</v>
      </c>
      <c r="B18" s="8">
        <v>0.9</v>
      </c>
      <c r="C18" s="3">
        <f>COUNTIF('Pipeline Report'!D6:D65,"Contract Negotiation")</f>
        <v>3</v>
      </c>
      <c r="D18" s="4">
        <f>SUMIF('Pipeline Report'!D6:D65,"Contract Negotiation",'Pipeline Report'!AH6:AH65)</f>
        <v>7100000</v>
      </c>
      <c r="E18" s="4">
        <f>SUMIF('Pipeline Report'!D6:D65,"Contract Negotiation",'Pipeline Report'!AI6:AI65)</f>
        <v>6390000</v>
      </c>
      <c r="F18" s="5">
        <f t="shared" ref="F18:F24" si="0">IFERROR(E18/$E$25,0)</f>
        <v>0.1474636471916933</v>
      </c>
    </row>
    <row r="19" spans="1:8" ht="19.5" customHeight="1">
      <c r="A19" s="1" t="s">
        <v>17</v>
      </c>
      <c r="B19" s="9">
        <v>0.75</v>
      </c>
      <c r="C19" s="3">
        <f>COUNTIF('Pipeline Report'!D6:D65,"Shortlisted")</f>
        <v>5</v>
      </c>
      <c r="D19" s="4">
        <f>SUMIF('Pipeline Report'!D6:D65,"Shortlisted",'Pipeline Report'!AH6:AH65)</f>
        <v>5578200</v>
      </c>
      <c r="E19" s="4">
        <f>SUMIF('Pipeline Report'!D6:D65,"Shortlisted",'Pipeline Report'!AI6:AI65)</f>
        <v>4183650</v>
      </c>
      <c r="F19" s="5">
        <f t="shared" si="0"/>
        <v>9.6547149855012157E-2</v>
      </c>
    </row>
    <row r="20" spans="1:8" ht="19.5" customHeight="1">
      <c r="A20" s="7" t="s">
        <v>18</v>
      </c>
      <c r="B20" s="10">
        <v>0.6</v>
      </c>
      <c r="C20" s="3">
        <f>COUNTIF('Pipeline Report'!D6:D65,"Proposal Sent")</f>
        <v>25</v>
      </c>
      <c r="D20" s="4">
        <f>SUMIF('Pipeline Report'!D6:D65,"Proposal Sent",'Pipeline Report'!AH6:AH65)</f>
        <v>36427328.333333328</v>
      </c>
      <c r="E20" s="4">
        <f>SUMIF('Pipeline Report'!D6:D65,"Proposal Sent",'Pipeline Report'!AI6:AI65)</f>
        <v>21856397</v>
      </c>
      <c r="F20" s="5">
        <f t="shared" si="0"/>
        <v>0.50438560502184415</v>
      </c>
    </row>
    <row r="21" spans="1:8" ht="19.5" customHeight="1">
      <c r="A21" s="1" t="s">
        <v>19</v>
      </c>
      <c r="B21" s="2">
        <v>0.4</v>
      </c>
      <c r="C21" s="3">
        <f>COUNTIF('Pipeline Report'!D6:D65,"Qualified")</f>
        <v>1</v>
      </c>
      <c r="D21" s="4">
        <f>SUMIF('Pipeline Report'!D6:D65,"Qualified",'Pipeline Report'!AH6:AH65)</f>
        <v>1345833.3333333335</v>
      </c>
      <c r="E21" s="4">
        <f>SUMIF('Pipeline Report'!D6:D65,"Qualified",'Pipeline Report'!AI6:AI65)</f>
        <v>538333.33333333337</v>
      </c>
      <c r="F21" s="5">
        <f t="shared" si="0"/>
        <v>1.2423254575617356E-2</v>
      </c>
    </row>
    <row r="22" spans="1:8" ht="19.5" customHeight="1">
      <c r="A22" s="7" t="s">
        <v>20</v>
      </c>
      <c r="B22" s="2">
        <v>0.2</v>
      </c>
      <c r="C22" s="3">
        <f>COUNTIF('Pipeline Report'!D6:D65,"Prospecting")</f>
        <v>1</v>
      </c>
      <c r="D22" s="4">
        <f>SUMIF('Pipeline Report'!D6:D65,"Prospecting",'Pipeline Report'!AH6:AH65)</f>
        <v>3600000</v>
      </c>
      <c r="E22" s="4">
        <f>SUMIF('Pipeline Report'!D6:D65,"Prospecting",'Pipeline Report'!AI6:AI65)</f>
        <v>720000</v>
      </c>
      <c r="F22" s="5">
        <f t="shared" si="0"/>
        <v>1.6615622218782346E-2</v>
      </c>
    </row>
    <row r="23" spans="1:8" ht="19.5" customHeight="1">
      <c r="A23" s="1" t="s">
        <v>21</v>
      </c>
      <c r="B23" s="11">
        <v>1</v>
      </c>
      <c r="C23" s="3">
        <f>COUNTIF('Pipeline Report'!D6:D65,"Closed Won")</f>
        <v>10</v>
      </c>
      <c r="D23" s="4">
        <f>SUMIF('Pipeline Report'!D6:D65,"Closed Won",'Pipeline Report'!AH6:AH65)</f>
        <v>9644333.333333334</v>
      </c>
      <c r="E23" s="4">
        <f>SUMIF('Pipeline Report'!D6:D65,"Closed Won",'Pipeline Report'!AI6:AI65)</f>
        <v>9644333.333333334</v>
      </c>
      <c r="F23" s="5">
        <f t="shared" si="0"/>
        <v>0.22256472113705075</v>
      </c>
    </row>
    <row r="24" spans="1:8" ht="19.5" customHeight="1">
      <c r="A24" s="7" t="s">
        <v>22</v>
      </c>
      <c r="B24" s="12">
        <v>0</v>
      </c>
      <c r="C24" s="3">
        <f>COUNTIF('Pipeline Report'!D6:D65,"Closed Lost")</f>
        <v>0</v>
      </c>
      <c r="D24" s="4">
        <f>SUMIF('Pipeline Report'!D6:D65,"Closed Lost",'Pipeline Report'!AH6:AH65)</f>
        <v>0</v>
      </c>
      <c r="E24" s="4">
        <f>SUMIF('Pipeline Report'!D6:D65,"Closed Lost",'Pipeline Report'!AI6:AI65)</f>
        <v>0</v>
      </c>
      <c r="F24" s="5">
        <f t="shared" si="0"/>
        <v>0</v>
      </c>
    </row>
    <row r="25" spans="1:8" ht="24" customHeight="1">
      <c r="A25" s="13" t="s">
        <v>23</v>
      </c>
      <c r="B25" s="14"/>
      <c r="C25" s="15">
        <f>SUM(C18:C24)</f>
        <v>45</v>
      </c>
      <c r="D25" s="16">
        <f>SUM(D18:D24)</f>
        <v>63695695</v>
      </c>
      <c r="E25" s="16">
        <f>SUM(E18:E24)</f>
        <v>43332713.666666664</v>
      </c>
      <c r="F25" s="17">
        <f>SUM(F18:F24)</f>
        <v>1</v>
      </c>
    </row>
    <row r="26" spans="1:8" ht="19.5" customHeight="1"/>
    <row r="27" spans="1:8" ht="12" customHeight="1"/>
    <row r="28" spans="1:8" ht="25.5" customHeight="1">
      <c r="A28" s="442" t="s">
        <v>24</v>
      </c>
      <c r="B28" s="442"/>
      <c r="C28" s="442"/>
      <c r="D28" s="442"/>
      <c r="E28" s="442"/>
      <c r="F28" s="442"/>
      <c r="G28" s="442"/>
      <c r="H28" s="442"/>
    </row>
    <row r="29" spans="1:8" ht="21.75" customHeight="1">
      <c r="A29" s="6" t="s">
        <v>25</v>
      </c>
      <c r="B29" s="6" t="s">
        <v>26</v>
      </c>
      <c r="C29" s="6" t="s">
        <v>10</v>
      </c>
      <c r="D29" s="6" t="s">
        <v>11</v>
      </c>
      <c r="E29" s="6" t="s">
        <v>27</v>
      </c>
      <c r="F29" s="6" t="s">
        <v>28</v>
      </c>
      <c r="G29" s="6" t="s">
        <v>29</v>
      </c>
      <c r="H29" s="6" t="s">
        <v>30</v>
      </c>
    </row>
    <row r="30" spans="1:8" ht="19.5" customHeight="1">
      <c r="A30" s="18">
        <v>1</v>
      </c>
      <c r="B30" s="19" t="str">
        <f>IFERROR(INDEX('Pipeline Report'!B6:B65,MATCH(LARGE('Pipeline Report'!AI6:AI65,1),'Pipeline Report'!AI6:AI65,0)),"")</f>
        <v>Kuehne &amp; Nagel</v>
      </c>
      <c r="C30" s="20" t="str">
        <f>IFERROR(INDEX('Pipeline Report'!D6:D65,MATCH(LARGE('Pipeline Report'!AI6:AI65,1),'Pipeline Report'!AI6:AI65,0)),"")</f>
        <v>Proposal Sent</v>
      </c>
      <c r="D30" s="21">
        <f>IFERROR(INDEX('Pipeline Report'!E6:E65,MATCH(LARGE('Pipeline Report'!AI6:AI65,1),'Pipeline Report'!AI6:AI65,0)),0)</f>
        <v>0.6</v>
      </c>
      <c r="E30" s="20" t="str">
        <f>IFERROR(INDEX('Pipeline Report'!F6:F65,MATCH(LARGE('Pipeline Report'!AI6:AI65,1),'Pipeline Report'!AI6:AI65,0)),"")</f>
        <v>RUH Tayba</v>
      </c>
      <c r="F30" s="22">
        <f>IFERROR(INDEX('Pipeline Report'!G6:G65,MATCH(LARGE('Pipeline Report'!AI6:AI65,1),'Pipeline Report'!AI6:AI65,0)),"")</f>
        <v>46327</v>
      </c>
      <c r="G30" s="4">
        <f>IFERROR(INDEX('Pipeline Report'!H6:H65,MATCH(LARGE('Pipeline Report'!AI6:AI65,1),'Pipeline Report'!AI6:AI65,0)),0)</f>
        <v>6102000</v>
      </c>
      <c r="H30" s="23">
        <f>IFERROR(LARGE('Pipeline Report'!AI6:AI65,1),0)</f>
        <v>4271400</v>
      </c>
    </row>
    <row r="31" spans="1:8" ht="19.5" customHeight="1">
      <c r="A31" s="24">
        <v>2</v>
      </c>
      <c r="B31" s="1" t="str">
        <f>IFERROR(INDEX('Pipeline Report'!B6:B65,MATCH(LARGE('Pipeline Report'!AI6:AI65,2),'Pipeline Report'!AI6:AI65,0)),"")</f>
        <v>Tejoury</v>
      </c>
      <c r="C31" s="25" t="str">
        <f>IFERROR(INDEX('Pipeline Report'!D6:D65,MATCH(LARGE('Pipeline Report'!AI6:AI65,2),'Pipeline Report'!AI6:AI65,0)),"")</f>
        <v>Proposal Sent</v>
      </c>
      <c r="D31" s="26">
        <f>IFERROR(INDEX('Pipeline Report'!E6:E65,MATCH(LARGE('Pipeline Report'!AI6:AI65,2),'Pipeline Report'!AI6:AI65,0)),0)</f>
        <v>0.6</v>
      </c>
      <c r="E31" s="25" t="str">
        <f>IFERROR(INDEX('Pipeline Report'!F6:F65,MATCH(LARGE('Pipeline Report'!AI6:AI65,2),'Pipeline Report'!AI6:AI65,0)),"")</f>
        <v>Jeddah Modon 3A</v>
      </c>
      <c r="F31" s="27">
        <f>IFERROR(INDEX('Pipeline Report'!G6:G65,MATCH(LARGE('Pipeline Report'!AI6:AI65,2),'Pipeline Report'!AI6:AI65,0)),"")</f>
        <v>46204</v>
      </c>
      <c r="G31" s="28">
        <f>IFERROR(INDEX('Pipeline Report'!H6:H65,MATCH(LARGE('Pipeline Report'!AI6:AI65,2),'Pipeline Report'!AI6:AI65,0)),0)</f>
        <v>4400000</v>
      </c>
      <c r="H31" s="29">
        <f>IFERROR(LARGE('Pipeline Report'!AI6:AI65,2),0)</f>
        <v>3959999.9999999991</v>
      </c>
    </row>
    <row r="32" spans="1:8" ht="19.5" customHeight="1">
      <c r="A32" s="18">
        <v>3</v>
      </c>
      <c r="B32" s="19" t="str">
        <f>IFERROR(INDEX('Pipeline Report'!B6:B65,MATCH(LARGE('Pipeline Report'!AI6:AI65,3),'Pipeline Report'!AI6:AI65,0)),"")</f>
        <v>NALCO Ecolab</v>
      </c>
      <c r="C32" s="20" t="str">
        <f>IFERROR(INDEX('Pipeline Report'!D6:D65,MATCH(LARGE('Pipeline Report'!AI6:AI65,3),'Pipeline Report'!AI6:AI65,0)),"")</f>
        <v>Contract Negotiation</v>
      </c>
      <c r="D32" s="21">
        <f>IFERROR(INDEX('Pipeline Report'!E6:E65,MATCH(LARGE('Pipeline Report'!AI6:AI65,3),'Pipeline Report'!AI6:AI65,0)),0)</f>
        <v>0.9</v>
      </c>
      <c r="E32" s="20" t="str">
        <f>IFERROR(INDEX('Pipeline Report'!F6:F65,MATCH(LARGE('Pipeline Report'!AI6:AI65,3),'Pipeline Report'!AI6:AI65,0)),"")</f>
        <v>Dammam 2nd Ind -Tad WH</v>
      </c>
      <c r="F32" s="22">
        <f>IFERROR(INDEX('Pipeline Report'!G6:G65,MATCH(LARGE('Pipeline Report'!AI6:AI65,3),'Pipeline Report'!AI6:AI65,0)),"")</f>
        <v>46174</v>
      </c>
      <c r="G32" s="4">
        <f>IFERROR(INDEX('Pipeline Report'!H6:H65,MATCH(LARGE('Pipeline Report'!AI6:AI65,3),'Pipeline Report'!AI6:AI65,0)),0)</f>
        <v>2400000</v>
      </c>
      <c r="H32" s="23">
        <f>IFERROR(LARGE('Pipeline Report'!AI6:AI65,3),0)</f>
        <v>3420000</v>
      </c>
    </row>
    <row r="33" spans="1:8" ht="19.5" customHeight="1">
      <c r="A33" s="24">
        <v>4</v>
      </c>
      <c r="B33" s="1" t="str">
        <f>IFERROR(INDEX('Pipeline Report'!B6:B65,MATCH(LARGE('Pipeline Report'!AI6:AI65,4),'Pipeline Report'!AI6:AI65,0)),"")</f>
        <v>PSA-BDP</v>
      </c>
      <c r="C33" s="25" t="str">
        <f>IFERROR(INDEX('Pipeline Report'!D6:D65,MATCH(LARGE('Pipeline Report'!AI6:AI65,4),'Pipeline Report'!AI6:AI65,0)),"")</f>
        <v>Closed Won</v>
      </c>
      <c r="D33" s="26">
        <f>IFERROR(INDEX('Pipeline Report'!E6:E65,MATCH(LARGE('Pipeline Report'!AI6:AI65,4),'Pipeline Report'!AI6:AI65,0)),0)</f>
        <v>1</v>
      </c>
      <c r="E33" s="25" t="str">
        <f>IFERROR(INDEX('Pipeline Report'!F6:F65,MATCH(LARGE('Pipeline Report'!AI6:AI65,4),'Pipeline Report'!AI6:AI65,0)),"")</f>
        <v>Subcontractor</v>
      </c>
      <c r="F33" s="27">
        <f>IFERROR(INDEX('Pipeline Report'!G6:G65,MATCH(LARGE('Pipeline Report'!AI6:AI65,4),'Pipeline Report'!AI6:AI65,0)),"")</f>
        <v>46067</v>
      </c>
      <c r="G33" s="28">
        <f>IFERROR(INDEX('Pipeline Report'!H6:H65,MATCH(LARGE('Pipeline Report'!AI6:AI65,4),'Pipeline Report'!AI6:AI65,0)),0)</f>
        <v>1800000</v>
      </c>
      <c r="H33" s="29">
        <f>IFERROR(LARGE('Pipeline Report'!AI6:AI65,4),0)</f>
        <v>3000000</v>
      </c>
    </row>
    <row r="34" spans="1:8" ht="19.5" customHeight="1">
      <c r="A34" s="18">
        <v>5</v>
      </c>
      <c r="B34" s="19" t="str">
        <f>IFERROR(INDEX('Pipeline Report'!B6:B65,MATCH(LARGE('Pipeline Report'!AI6:AI65,5),'Pipeline Report'!AI6:AI65,0)),"")</f>
        <v>Saudi National Bank</v>
      </c>
      <c r="C34" s="20" t="str">
        <f>IFERROR(INDEX('Pipeline Report'!D6:D65,MATCH(LARGE('Pipeline Report'!AI6:AI65,5),'Pipeline Report'!AI6:AI65,0)),"")</f>
        <v>Proposal Sent</v>
      </c>
      <c r="D34" s="21">
        <f>IFERROR(INDEX('Pipeline Report'!E6:E65,MATCH(LARGE('Pipeline Report'!AI6:AI65,5),'Pipeline Report'!AI6:AI65,0)),0)</f>
        <v>0.6</v>
      </c>
      <c r="E34" s="20" t="str">
        <f>IFERROR(INDEX('Pipeline Report'!F6:F65,MATCH(LARGE('Pipeline Report'!AI6:AI65,5),'Pipeline Report'!AI6:AI65,0)),"")</f>
        <v>Contract Logistics</v>
      </c>
      <c r="F34" s="22">
        <f>IFERROR(INDEX('Pipeline Report'!G6:G65,MATCH(LARGE('Pipeline Report'!AI6:AI65,5),'Pipeline Report'!AI6:AI65,0)),"")</f>
        <v>46157</v>
      </c>
      <c r="G34" s="4">
        <f>IFERROR(INDEX('Pipeline Report'!H6:H65,MATCH(LARGE('Pipeline Report'!AI6:AI65,5),'Pipeline Report'!AI6:AI65,0)),0)</f>
        <v>1975386</v>
      </c>
      <c r="H34" s="23">
        <f>IFERROR(LARGE('Pipeline Report'!AI6:AI65,5),0)</f>
        <v>1975386</v>
      </c>
    </row>
    <row r="35" spans="1:8" ht="19.5" customHeight="1">
      <c r="A35" s="24">
        <v>6</v>
      </c>
      <c r="B35" s="1" t="str">
        <f>IFERROR(INDEX('Pipeline Report'!B6:B65,MATCH(LARGE('Pipeline Report'!AI6:AI65,6),'Pipeline Report'!AI6:AI65,0)),"")</f>
        <v>Kuehne &amp; Nagel</v>
      </c>
      <c r="C35" s="25" t="str">
        <f>IFERROR(INDEX('Pipeline Report'!D6:D65,MATCH(LARGE('Pipeline Report'!AI6:AI65,6),'Pipeline Report'!AI6:AI65,0)),"")</f>
        <v>Proposal Sent</v>
      </c>
      <c r="D35" s="26">
        <f>IFERROR(INDEX('Pipeline Report'!E6:E65,MATCH(LARGE('Pipeline Report'!AI6:AI65,6),'Pipeline Report'!AI6:AI65,0)),0)</f>
        <v>0.6</v>
      </c>
      <c r="E35" s="25" t="str">
        <f>IFERROR(INDEX('Pipeline Report'!F6:F65,MATCH(LARGE('Pipeline Report'!AI6:AI65,6),'Pipeline Report'!AI6:AI65,0)),"")</f>
        <v>RUH Tayba</v>
      </c>
      <c r="F35" s="27">
        <f>IFERROR(INDEX('Pipeline Report'!G6:G65,MATCH(LARGE('Pipeline Report'!AI6:AI65,6),'Pipeline Report'!AI6:AI65,0)),"")</f>
        <v>46204</v>
      </c>
      <c r="G35" s="28">
        <f>IFERROR(INDEX('Pipeline Report'!H6:H65,MATCH(LARGE('Pipeline Report'!AI6:AI65,6),'Pipeline Report'!AI6:AI65,0)),0)</f>
        <v>2025000</v>
      </c>
      <c r="H35" s="29">
        <f>IFERROR(LARGE('Pipeline Report'!AI6:AI65,6),0)</f>
        <v>1822500</v>
      </c>
    </row>
    <row r="36" spans="1:8" ht="19.5" customHeight="1">
      <c r="A36" s="18">
        <v>7</v>
      </c>
      <c r="B36" s="19" t="str">
        <f>IFERROR(INDEX('Pipeline Report'!B6:B65,MATCH(LARGE('Pipeline Report'!AI6:AI65,7),'Pipeline Report'!AI6:AI65,0)),"")</f>
        <v>Al Nahdi</v>
      </c>
      <c r="C36" s="20" t="str">
        <f>IFERROR(INDEX('Pipeline Report'!D6:D65,MATCH(LARGE('Pipeline Report'!AI6:AI65,7),'Pipeline Report'!AI6:AI65,0)),"")</f>
        <v>Contract Negotiation</v>
      </c>
      <c r="D36" s="21">
        <f>IFERROR(INDEX('Pipeline Report'!E6:E65,MATCH(LARGE('Pipeline Report'!AI6:AI65,7),'Pipeline Report'!AI6:AI65,0)),0)</f>
        <v>0.9</v>
      </c>
      <c r="E36" s="20" t="str">
        <f>IFERROR(INDEX('Pipeline Report'!F6:F65,MATCH(LARGE('Pipeline Report'!AI6:AI65,7),'Pipeline Report'!AI6:AI65,0)),"")</f>
        <v>Jeddah Modon 3A</v>
      </c>
      <c r="F36" s="22">
        <f>IFERROR(INDEX('Pipeline Report'!G6:G65,MATCH(LARGE('Pipeline Report'!AI6:AI65,7),'Pipeline Report'!AI6:AI65,0)),"")</f>
        <v>46143</v>
      </c>
      <c r="G36" s="4">
        <f>IFERROR(INDEX('Pipeline Report'!H6:H65,MATCH(LARGE('Pipeline Report'!AI6:AI65,7),'Pipeline Report'!AI6:AI65,0)),0)</f>
        <v>1080000</v>
      </c>
      <c r="H36" s="23">
        <f>IFERROR(LARGE('Pipeline Report'!AI6:AI65,7),0)</f>
        <v>1620000</v>
      </c>
    </row>
    <row r="37" spans="1:8" ht="19.5" customHeight="1">
      <c r="A37" s="24">
        <v>8</v>
      </c>
      <c r="B37" s="1" t="str">
        <f>IFERROR(INDEX('Pipeline Report'!B6:B65,MATCH(LARGE('Pipeline Report'!AI6:AI65,8),'Pipeline Report'!AI6:AI65,0)),"")</f>
        <v>Maaden</v>
      </c>
      <c r="C37" s="25" t="str">
        <f>IFERROR(INDEX('Pipeline Report'!D6:D65,MATCH(LARGE('Pipeline Report'!AI6:AI65,8),'Pipeline Report'!AI6:AI65,0)),"")</f>
        <v>Closed Won</v>
      </c>
      <c r="D37" s="26">
        <f>IFERROR(INDEX('Pipeline Report'!E6:E65,MATCH(LARGE('Pipeline Report'!AI6:AI65,8),'Pipeline Report'!AI6:AI65,0)),0)</f>
        <v>1</v>
      </c>
      <c r="E37" s="25" t="str">
        <f>IFERROR(INDEX('Pipeline Report'!F6:F65,MATCH(LARGE('Pipeline Report'!AI6:AI65,8),'Pipeline Report'!AI6:AI65,0)),"")</f>
        <v>Jubail 1</v>
      </c>
      <c r="F37" s="27">
        <f>IFERROR(INDEX('Pipeline Report'!G6:G65,MATCH(LARGE('Pipeline Report'!AI6:AI65,8),'Pipeline Report'!AI6:AI65,0)),"")</f>
        <v>46054</v>
      </c>
      <c r="G37" s="28">
        <f>IFERROR(INDEX('Pipeline Report'!H6:H65,MATCH(LARGE('Pipeline Report'!AI6:AI65,8),'Pipeline Report'!AI6:AI65,0)),0)</f>
        <v>960000</v>
      </c>
      <c r="H37" s="29">
        <f>IFERROR(LARGE('Pipeline Report'!AI6:AI65,8),0)</f>
        <v>1600000</v>
      </c>
    </row>
    <row r="38" spans="1:8" ht="12" customHeight="1"/>
    <row r="39" spans="1:8" ht="25.5" customHeight="1">
      <c r="A39" s="442" t="s">
        <v>31</v>
      </c>
      <c r="B39" s="442"/>
      <c r="C39" s="442"/>
      <c r="D39" s="442"/>
      <c r="E39" s="442"/>
    </row>
    <row r="40" spans="1:8" ht="21.75" customHeight="1">
      <c r="A40" s="6" t="s">
        <v>27</v>
      </c>
      <c r="B40" s="6" t="s">
        <v>32</v>
      </c>
      <c r="C40" s="6" t="s">
        <v>33</v>
      </c>
      <c r="D40" s="6" t="s">
        <v>34</v>
      </c>
      <c r="E40" s="6" t="s">
        <v>35</v>
      </c>
    </row>
    <row r="41" spans="1:8" ht="19.5" customHeight="1">
      <c r="A41" s="20" t="s">
        <v>36</v>
      </c>
      <c r="B41" s="4">
        <f>'Pipeline Report'!G161</f>
        <v>4973</v>
      </c>
      <c r="C41" s="4">
        <f>'Pipeline Report'!S173</f>
        <v>300</v>
      </c>
      <c r="D41" s="30">
        <f>'Pipeline Report'!S161</f>
        <v>4673</v>
      </c>
      <c r="E41" s="5">
        <f t="shared" ref="E41:E50" si="1">IFERROR(C41/B41,0)</f>
        <v>6.0325759099135332E-2</v>
      </c>
    </row>
    <row r="42" spans="1:8" ht="19.5" customHeight="1">
      <c r="A42" s="20" t="s">
        <v>37</v>
      </c>
      <c r="B42" s="4">
        <f>'Pipeline Report'!G162</f>
        <v>10047</v>
      </c>
      <c r="C42" s="4">
        <f>'Pipeline Report'!S174</f>
        <v>7090</v>
      </c>
      <c r="D42" s="30">
        <f>'Pipeline Report'!S162</f>
        <v>2957</v>
      </c>
      <c r="E42" s="5">
        <f t="shared" si="1"/>
        <v>0.70568328854384388</v>
      </c>
    </row>
    <row r="43" spans="1:8" ht="19.5" customHeight="1">
      <c r="A43" s="20" t="s">
        <v>38</v>
      </c>
      <c r="B43" s="4">
        <f>'Pipeline Report'!G163</f>
        <v>23706</v>
      </c>
      <c r="C43" s="4">
        <f>'Pipeline Report'!S175</f>
        <v>4330</v>
      </c>
      <c r="D43" s="30">
        <f>'Pipeline Report'!S163</f>
        <v>19376</v>
      </c>
      <c r="E43" s="5">
        <f t="shared" si="1"/>
        <v>0.18265418037627604</v>
      </c>
    </row>
    <row r="44" spans="1:8" ht="19.5" customHeight="1">
      <c r="A44" s="20" t="s">
        <v>39</v>
      </c>
      <c r="B44" s="4">
        <f>'Pipeline Report'!G164</f>
        <v>19247</v>
      </c>
      <c r="C44" s="4">
        <f>'Pipeline Report'!S176</f>
        <v>0</v>
      </c>
      <c r="D44" s="30">
        <f>'Pipeline Report'!S164</f>
        <v>19247</v>
      </c>
      <c r="E44" s="5">
        <f t="shared" si="1"/>
        <v>0</v>
      </c>
    </row>
    <row r="45" spans="1:8" ht="19.5" customHeight="1">
      <c r="A45" s="31" t="s">
        <v>40</v>
      </c>
      <c r="B45" s="4">
        <f>'Pipeline Report'!G165</f>
        <v>42953</v>
      </c>
      <c r="C45" s="4">
        <f>'Pipeline Report'!S177</f>
        <v>4330</v>
      </c>
      <c r="D45" s="30">
        <f>'Pipeline Report'!S165</f>
        <v>38623</v>
      </c>
      <c r="E45" s="5">
        <f t="shared" si="1"/>
        <v>0.10080785975368425</v>
      </c>
    </row>
    <row r="46" spans="1:8" ht="19.5" customHeight="1">
      <c r="A46" s="20" t="s">
        <v>41</v>
      </c>
      <c r="B46" s="4">
        <f>'Pipeline Report'!G166</f>
        <v>19713</v>
      </c>
      <c r="C46" s="4">
        <f>'Pipeline Report'!S178</f>
        <v>4500</v>
      </c>
      <c r="D46" s="30">
        <f>'Pipeline Report'!S166</f>
        <v>15213</v>
      </c>
      <c r="E46" s="5">
        <f t="shared" si="1"/>
        <v>0.22827575711459444</v>
      </c>
    </row>
    <row r="47" spans="1:8" ht="19.5" customHeight="1">
      <c r="A47" s="20" t="s">
        <v>42</v>
      </c>
      <c r="B47" s="4">
        <f>'Pipeline Report'!G167</f>
        <v>686</v>
      </c>
      <c r="C47" s="4">
        <f>'Pipeline Report'!S179</f>
        <v>5500</v>
      </c>
      <c r="D47" s="30">
        <f>'Pipeline Report'!S167</f>
        <v>-4814</v>
      </c>
      <c r="E47" s="5">
        <f t="shared" si="1"/>
        <v>8.017492711370263</v>
      </c>
    </row>
    <row r="48" spans="1:8" ht="19.5" customHeight="1">
      <c r="A48" s="20" t="s">
        <v>43</v>
      </c>
      <c r="B48" s="4">
        <f>'Pipeline Report'!G168</f>
        <v>2998</v>
      </c>
      <c r="C48" s="4">
        <f>'Pipeline Report'!S180</f>
        <v>0</v>
      </c>
      <c r="D48" s="30">
        <f>'Pipeline Report'!S168</f>
        <v>2998</v>
      </c>
      <c r="E48" s="5">
        <f t="shared" si="1"/>
        <v>0</v>
      </c>
    </row>
    <row r="49" spans="1:13" ht="19.5" customHeight="1">
      <c r="A49" s="20" t="s">
        <v>44</v>
      </c>
      <c r="B49" s="4">
        <f>'Pipeline Report'!G169</f>
        <v>7500</v>
      </c>
      <c r="C49" s="4">
        <f>'Pipeline Report'!S181</f>
        <v>2500</v>
      </c>
      <c r="D49" s="30">
        <f>'Pipeline Report'!S169</f>
        <v>5000</v>
      </c>
      <c r="E49" s="5">
        <f t="shared" si="1"/>
        <v>0.33333333333333331</v>
      </c>
    </row>
    <row r="50" spans="1:13" ht="19.5" customHeight="1">
      <c r="A50" s="20" t="s">
        <v>45</v>
      </c>
      <c r="B50" s="4">
        <f>'Pipeline Report'!G170</f>
        <v>0</v>
      </c>
      <c r="C50" s="4">
        <f>'Pipeline Report'!S182</f>
        <v>0</v>
      </c>
      <c r="D50" s="30">
        <f>'Pipeline Report'!S170</f>
        <v>0</v>
      </c>
      <c r="E50" s="5">
        <f t="shared" si="1"/>
        <v>0</v>
      </c>
    </row>
    <row r="51" spans="1:13" ht="24" customHeight="1">
      <c r="A51" s="13" t="s">
        <v>46</v>
      </c>
      <c r="B51" s="16">
        <f>'Pipeline Report'!G171</f>
        <v>88870</v>
      </c>
      <c r="C51" s="16">
        <f>'Pipeline Report'!S183</f>
        <v>24220</v>
      </c>
      <c r="D51" s="16">
        <f>'Pipeline Report'!S171</f>
        <v>64650</v>
      </c>
      <c r="E51" s="17">
        <f>'Pipeline Report'!S185</f>
        <v>0.27253291324406437</v>
      </c>
    </row>
    <row r="52" spans="1:13" ht="12" customHeight="1"/>
    <row r="53" spans="1:13" ht="25.5" customHeight="1">
      <c r="A53" s="443" t="s">
        <v>47</v>
      </c>
      <c r="B53" s="443"/>
      <c r="C53" s="443"/>
      <c r="D53" s="443"/>
      <c r="E53" s="443"/>
      <c r="F53" s="443"/>
      <c r="G53" s="443"/>
      <c r="H53" s="443"/>
      <c r="I53" s="443"/>
    </row>
    <row r="54" spans="1:13" ht="21.75" customHeight="1">
      <c r="A54" s="32" t="s">
        <v>25</v>
      </c>
      <c r="B54" s="446" t="s">
        <v>48</v>
      </c>
      <c r="C54" s="446"/>
      <c r="D54" s="446"/>
      <c r="E54" s="446"/>
      <c r="F54" s="446" t="s">
        <v>49</v>
      </c>
      <c r="G54" s="446"/>
      <c r="H54" s="32" t="s">
        <v>50</v>
      </c>
      <c r="I54" s="32" t="s">
        <v>51</v>
      </c>
    </row>
    <row r="55" spans="1:13" ht="31.5" customHeight="1">
      <c r="A55" s="18" t="s">
        <v>52</v>
      </c>
      <c r="B55" s="438" t="s">
        <v>53</v>
      </c>
      <c r="C55" s="438"/>
      <c r="D55" s="438"/>
      <c r="E55" s="438"/>
      <c r="F55" s="439" t="str">
        <f>"+" &amp; TEXT(SUMIF('Pipeline Report'!D6:D65,"Proposal Sent",'Pipeline Report'!AH6:AH65)*5*0.3/COUNTIF('Pipeline Report'!D6:D65,"Proposal Sent"),"#,##0,,") &amp; "M weighted SAR"</f>
        <v>+2M weighted SAR</v>
      </c>
      <c r="G55" s="439"/>
      <c r="H55" s="3" t="s">
        <v>54</v>
      </c>
      <c r="I55" s="33" t="s">
        <v>55</v>
      </c>
    </row>
    <row r="56" spans="1:13" ht="31.5" customHeight="1">
      <c r="A56" s="24" t="s">
        <v>56</v>
      </c>
      <c r="B56" s="444" t="s">
        <v>57</v>
      </c>
      <c r="C56" s="444"/>
      <c r="D56" s="444"/>
      <c r="E56" s="444"/>
      <c r="F56" s="445" t="s">
        <v>58</v>
      </c>
      <c r="G56" s="445"/>
      <c r="H56" s="34" t="s">
        <v>59</v>
      </c>
      <c r="I56" s="33" t="s">
        <v>55</v>
      </c>
    </row>
    <row r="57" spans="1:13" ht="31.5" customHeight="1">
      <c r="A57" s="18" t="s">
        <v>60</v>
      </c>
      <c r="B57" s="438" t="s">
        <v>61</v>
      </c>
      <c r="C57" s="438"/>
      <c r="D57" s="438"/>
      <c r="E57" s="438"/>
      <c r="F57" s="439" t="s">
        <v>62</v>
      </c>
      <c r="G57" s="439"/>
      <c r="H57" s="3" t="s">
        <v>63</v>
      </c>
      <c r="I57" s="33" t="s">
        <v>55</v>
      </c>
    </row>
    <row r="58" spans="1:13" ht="31.5" customHeight="1">
      <c r="A58" s="24" t="s">
        <v>64</v>
      </c>
      <c r="B58" s="444" t="s">
        <v>65</v>
      </c>
      <c r="C58" s="444"/>
      <c r="D58" s="444"/>
      <c r="E58" s="444"/>
      <c r="F58" s="445" t="s">
        <v>66</v>
      </c>
      <c r="G58" s="445"/>
      <c r="H58" s="34" t="s">
        <v>67</v>
      </c>
      <c r="I58" s="32" t="s">
        <v>68</v>
      </c>
    </row>
    <row r="59" spans="1:13" ht="31.5" customHeight="1">
      <c r="A59" s="18" t="s">
        <v>69</v>
      </c>
      <c r="B59" s="438" t="s">
        <v>70</v>
      </c>
      <c r="C59" s="438"/>
      <c r="D59" s="438"/>
      <c r="E59" s="438"/>
      <c r="F59" s="439" t="s">
        <v>71</v>
      </c>
      <c r="G59" s="439"/>
      <c r="H59" s="3" t="s">
        <v>67</v>
      </c>
      <c r="I59" s="32" t="s">
        <v>68</v>
      </c>
    </row>
    <row r="60" spans="1:13" ht="31.5" customHeight="1">
      <c r="A60" s="24" t="s">
        <v>72</v>
      </c>
      <c r="B60" s="444" t="s">
        <v>73</v>
      </c>
      <c r="C60" s="444"/>
      <c r="D60" s="444"/>
      <c r="E60" s="444"/>
      <c r="F60" s="445" t="s">
        <v>74</v>
      </c>
      <c r="G60" s="445"/>
      <c r="H60" s="34" t="s">
        <v>75</v>
      </c>
      <c r="I60" s="35" t="s">
        <v>76</v>
      </c>
    </row>
    <row r="61" spans="1:13" ht="31.5" customHeight="1">
      <c r="A61" s="18" t="s">
        <v>77</v>
      </c>
      <c r="B61" s="438" t="s">
        <v>78</v>
      </c>
      <c r="C61" s="438"/>
      <c r="D61" s="438"/>
      <c r="E61" s="438"/>
      <c r="F61" s="439" t="s">
        <v>79</v>
      </c>
      <c r="G61" s="439"/>
      <c r="H61" s="3" t="s">
        <v>80</v>
      </c>
      <c r="I61" s="36" t="s">
        <v>79</v>
      </c>
    </row>
    <row r="63" spans="1:13" ht="19.5" customHeight="1">
      <c r="A63" s="440" t="str">
        <f>"For full deal-level detail, see Pipeline Report tab. Data refreshes when Pipeline Data or Warehouse Snapshot tabs are updated."</f>
        <v>For full deal-level detail, see Pipeline Report tab. Data refreshes when Pipeline Data or Warehouse Snapshot tabs are updated.</v>
      </c>
      <c r="B63" s="440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</row>
  </sheetData>
  <mergeCells count="48">
    <mergeCell ref="A1:L2"/>
    <mergeCell ref="A3:M3"/>
    <mergeCell ref="A5:C5"/>
    <mergeCell ref="D5:F5"/>
    <mergeCell ref="G5:I5"/>
    <mergeCell ref="J5:L5"/>
    <mergeCell ref="A11:C11"/>
    <mergeCell ref="D11:F11"/>
    <mergeCell ref="G11:I11"/>
    <mergeCell ref="J11:L11"/>
    <mergeCell ref="A6:C7"/>
    <mergeCell ref="D6:F7"/>
    <mergeCell ref="G6:I7"/>
    <mergeCell ref="J6:L7"/>
    <mergeCell ref="A8:C8"/>
    <mergeCell ref="D8:F8"/>
    <mergeCell ref="G8:I8"/>
    <mergeCell ref="J8:L8"/>
    <mergeCell ref="A12:C13"/>
    <mergeCell ref="D12:F13"/>
    <mergeCell ref="G12:I13"/>
    <mergeCell ref="J12:L13"/>
    <mergeCell ref="A14:C14"/>
    <mergeCell ref="D14:F14"/>
    <mergeCell ref="G14:I14"/>
    <mergeCell ref="J14:L14"/>
    <mergeCell ref="B56:E56"/>
    <mergeCell ref="F56:G56"/>
    <mergeCell ref="B57:E57"/>
    <mergeCell ref="F57:G57"/>
    <mergeCell ref="B54:E54"/>
    <mergeCell ref="F54:G54"/>
    <mergeCell ref="B61:E61"/>
    <mergeCell ref="F61:G61"/>
    <mergeCell ref="A63:M63"/>
    <mergeCell ref="A10:L10"/>
    <mergeCell ref="A16:F16"/>
    <mergeCell ref="A28:H28"/>
    <mergeCell ref="A39:E39"/>
    <mergeCell ref="A53:I53"/>
    <mergeCell ref="B58:E58"/>
    <mergeCell ref="F58:G58"/>
    <mergeCell ref="B59:E59"/>
    <mergeCell ref="F59:G59"/>
    <mergeCell ref="B60:E60"/>
    <mergeCell ref="F60:G60"/>
    <mergeCell ref="B55:E55"/>
    <mergeCell ref="F55:G55"/>
  </mergeCells>
  <printOptions horizontalCentered="1"/>
  <pageMargins left="0.4" right="0.4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J217"/>
  <sheetViews>
    <sheetView zoomScale="85" zoomScaleNormal="85" workbookViewId="0">
      <pane ySplit="5" topLeftCell="A127" activePane="bottomLeft" state="frozen"/>
      <selection pane="bottomLeft" activeCell="T153" sqref="T153"/>
    </sheetView>
  </sheetViews>
  <sheetFormatPr defaultColWidth="8.7109375" defaultRowHeight="15"/>
  <cols>
    <col min="1" max="1" width="19.42578125" customWidth="1"/>
    <col min="2" max="2" width="41.7109375" customWidth="1"/>
    <col min="3" max="4" width="18" customWidth="1"/>
    <col min="5" max="5" width="16.85546875" customWidth="1"/>
    <col min="6" max="6" width="26.42578125" customWidth="1"/>
    <col min="7" max="7" width="14.7109375" customWidth="1"/>
    <col min="8" max="8" width="15.42578125" customWidth="1"/>
    <col min="9" max="9" width="16" customWidth="1"/>
    <col min="10" max="10" width="13.7109375" customWidth="1"/>
    <col min="11" max="11" width="12" customWidth="1"/>
    <col min="12" max="19" width="11" customWidth="1"/>
    <col min="20" max="20" width="13" customWidth="1"/>
    <col min="21" max="32" width="11" customWidth="1"/>
    <col min="33" max="33" width="13" customWidth="1"/>
    <col min="34" max="35" width="14" customWidth="1"/>
    <col min="36" max="36" width="104" customWidth="1"/>
  </cols>
  <sheetData>
    <row r="1" spans="1:36" ht="27.75" customHeight="1">
      <c r="A1" s="479" t="s">
        <v>81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  <c r="AC1" s="479"/>
      <c r="AD1" s="479"/>
      <c r="AE1" s="479"/>
      <c r="AF1" s="479"/>
      <c r="AG1" s="479"/>
      <c r="AH1" s="479"/>
      <c r="AI1" s="479"/>
      <c r="AJ1" s="479"/>
    </row>
    <row r="2" spans="1:36" ht="50.25" customHeight="1">
      <c r="A2" s="37" t="s">
        <v>82</v>
      </c>
      <c r="B2" s="38" t="s">
        <v>83</v>
      </c>
      <c r="D2" s="37" t="s">
        <v>84</v>
      </c>
      <c r="E2" s="38" t="s">
        <v>85</v>
      </c>
      <c r="G2" s="37" t="s">
        <v>86</v>
      </c>
      <c r="H2" s="38" t="s">
        <v>87</v>
      </c>
      <c r="J2" s="37" t="s">
        <v>88</v>
      </c>
      <c r="K2" s="38" t="s">
        <v>89</v>
      </c>
    </row>
    <row r="3" spans="1:36" ht="6" customHeight="1"/>
    <row r="4" spans="1:36" ht="40.5" customHeight="1">
      <c r="A4" s="478" t="s">
        <v>90</v>
      </c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478"/>
      <c r="AA4" s="478"/>
      <c r="AB4" s="478"/>
      <c r="AC4" s="478"/>
      <c r="AD4" s="478"/>
      <c r="AE4" s="478"/>
      <c r="AF4" s="478"/>
      <c r="AG4" s="478"/>
      <c r="AH4" s="478"/>
      <c r="AI4" s="478"/>
      <c r="AJ4" s="478"/>
    </row>
    <row r="5" spans="1:36" ht="42" customHeight="1">
      <c r="A5" s="40" t="s">
        <v>25</v>
      </c>
      <c r="B5" s="41" t="s">
        <v>91</v>
      </c>
      <c r="C5" s="41" t="s">
        <v>92</v>
      </c>
      <c r="D5" s="42" t="s">
        <v>10</v>
      </c>
      <c r="E5" s="40" t="s">
        <v>11</v>
      </c>
      <c r="F5" s="41" t="s">
        <v>93</v>
      </c>
      <c r="G5" s="42" t="s">
        <v>94</v>
      </c>
      <c r="H5" s="42" t="s">
        <v>95</v>
      </c>
      <c r="I5" s="40" t="s">
        <v>96</v>
      </c>
      <c r="J5" s="41" t="s">
        <v>97</v>
      </c>
      <c r="K5" s="41" t="s">
        <v>98</v>
      </c>
      <c r="L5" s="40" t="s">
        <v>99</v>
      </c>
      <c r="M5" s="40" t="s">
        <v>100</v>
      </c>
      <c r="N5" s="40" t="s">
        <v>101</v>
      </c>
      <c r="O5" s="40" t="s">
        <v>102</v>
      </c>
      <c r="P5" s="40" t="s">
        <v>103</v>
      </c>
      <c r="Q5" s="40" t="s">
        <v>104</v>
      </c>
      <c r="R5" s="40" t="s">
        <v>105</v>
      </c>
      <c r="S5" s="40" t="s">
        <v>106</v>
      </c>
      <c r="T5" s="40" t="s">
        <v>107</v>
      </c>
      <c r="U5" s="40" t="s">
        <v>108</v>
      </c>
      <c r="V5" s="40" t="s">
        <v>109</v>
      </c>
      <c r="W5" s="40" t="s">
        <v>110</v>
      </c>
      <c r="X5" s="40" t="s">
        <v>111</v>
      </c>
      <c r="Y5" s="40" t="s">
        <v>112</v>
      </c>
      <c r="Z5" s="40" t="s">
        <v>113</v>
      </c>
      <c r="AA5" s="40" t="s">
        <v>114</v>
      </c>
      <c r="AB5" s="40" t="s">
        <v>115</v>
      </c>
      <c r="AC5" s="40" t="s">
        <v>116</v>
      </c>
      <c r="AD5" s="40" t="s">
        <v>117</v>
      </c>
      <c r="AE5" s="40" t="s">
        <v>118</v>
      </c>
      <c r="AF5" s="40" t="s">
        <v>119</v>
      </c>
      <c r="AG5" s="40" t="s">
        <v>120</v>
      </c>
      <c r="AH5" s="40" t="s">
        <v>121</v>
      </c>
      <c r="AI5" s="40" t="s">
        <v>122</v>
      </c>
      <c r="AJ5" s="41" t="s">
        <v>123</v>
      </c>
    </row>
    <row r="6" spans="1:36" ht="15" customHeight="1">
      <c r="A6" s="43">
        <v>1</v>
      </c>
      <c r="B6" s="44" t="str">
        <f>IF('Pipeline Data Input'!D3="","",'Pipeline Data Input'!D3)</f>
        <v>SLB</v>
      </c>
      <c r="C6" s="44" t="str">
        <f>IF('Pipeline Data Input'!E3="","",'Pipeline Data Input'!E3)</f>
        <v>Yazan Darwish</v>
      </c>
      <c r="D6" s="45" t="str">
        <f>IF('Pipeline Data Input'!J3="","",'Pipeline Data Input'!J3)</f>
        <v>Prospecting</v>
      </c>
      <c r="E6" s="46">
        <f t="shared" ref="E6:E37" si="0">IFERROR(VLOOKUP(D6,$B$211:$C$217,2,FALSE()),0)</f>
        <v>0.2</v>
      </c>
      <c r="F6" s="45" t="str">
        <f>IF('Pipeline Data Input'!B3="","",IFERROR(VLOOKUP('Pipeline Data Input'!B3,'Pipeline Data Input'!$A$66:$B$80,2,FALSE()),'Pipeline Data Input'!B3))</f>
        <v>Dammam 2nd Ind -Tad WH</v>
      </c>
      <c r="G6" s="47">
        <f>IF('Pipeline Data Input'!K3="","",'Pipeline Data Input'!K3)</f>
        <v>46204</v>
      </c>
      <c r="H6" s="48">
        <f>IF('Pipeline Data Input'!I3="",0,'Pipeline Data Input'!I3)</f>
        <v>2400000</v>
      </c>
      <c r="I6" s="49">
        <f t="shared" ref="I6:I37" si="1">T6</f>
        <v>1200000</v>
      </c>
      <c r="J6" s="50">
        <f>IF('Pipeline Data Input'!F3="",0,'Pipeline Data Input'!F3)</f>
        <v>4000</v>
      </c>
      <c r="K6" s="50">
        <f>IF('Pipeline Data Input'!G3="",0,'Pipeline Data Input'!G3)</f>
        <v>0</v>
      </c>
      <c r="L6" s="49">
        <f t="shared" ref="L6:L37" si="2">IF(OR(G6="",H6=""),0,IF(DATE(2026,5,1)&gt;=DATE(YEAR(G6),MONTH(G6),1),H6/12,0))</f>
        <v>0</v>
      </c>
      <c r="M6" s="49">
        <f t="shared" ref="M6:M37" si="3">IF(OR(G6="",H6=""),0,IF(DATE(2026,6,1)&gt;=DATE(YEAR(G6),MONTH(G6),1),H6/12,0))</f>
        <v>0</v>
      </c>
      <c r="N6" s="49">
        <f t="shared" ref="N6:N37" si="4">IF(OR(G6="",H6=""),0,IF(DATE(2026,7,1)&gt;=DATE(YEAR(G6),MONTH(G6),1),H6/12,0))</f>
        <v>200000</v>
      </c>
      <c r="O6" s="49">
        <f t="shared" ref="O6:O37" si="5">IF(OR(G6="",H6=""),0,IF(DATE(2026,8,1)&gt;=DATE(YEAR(G6),MONTH(G6),1),H6/12,0))</f>
        <v>200000</v>
      </c>
      <c r="P6" s="49">
        <f t="shared" ref="P6:P37" si="6">IF(OR(G6="",H6=""),0,IF(DATE(2026,9,1)&gt;=DATE(YEAR(G6),MONTH(G6),1),H6/12,0))</f>
        <v>200000</v>
      </c>
      <c r="Q6" s="49">
        <f t="shared" ref="Q6:Q37" si="7">IF(OR(G6="",H6=""),0,IF(DATE(2026,10,1)&gt;=DATE(YEAR(G6),MONTH(G6),1),H6/12,0))</f>
        <v>200000</v>
      </c>
      <c r="R6" s="49">
        <f t="shared" ref="R6:R37" si="8">IF(OR(G6="",H6=""),0,IF(DATE(2026,11,1)&gt;=DATE(YEAR(G6),MONTH(G6),1),H6/12,0))</f>
        <v>200000</v>
      </c>
      <c r="S6" s="49">
        <f t="shared" ref="S6:S37" si="9">IF(OR(G6="",H6=""),0,IF(DATE(2026,12,1)&gt;=DATE(YEAR(G6),MONTH(G6),1),H6/12,0))</f>
        <v>200000</v>
      </c>
      <c r="T6" s="51">
        <f t="shared" ref="T6:T37" si="10">SUM(L6:S6)</f>
        <v>1200000</v>
      </c>
      <c r="U6" s="49">
        <f t="shared" ref="U6:U37" si="11">IF(OR(G6="",H6=""),0,IF(DATE(2027,1,1)&gt;=DATE(YEAR(G6),MONTH(G6),1),H6/12,0))</f>
        <v>200000</v>
      </c>
      <c r="V6" s="49">
        <f t="shared" ref="V6:V37" si="12">IF(OR(G6="",H6=""),0,IF(DATE(2027,2,1)&gt;=DATE(YEAR(G6),MONTH(G6),1),H6/12,0))</f>
        <v>200000</v>
      </c>
      <c r="W6" s="49">
        <f t="shared" ref="W6:W37" si="13">IF(OR(G6="",H6=""),0,IF(DATE(2027,3,1)&gt;=DATE(YEAR(G6),MONTH(G6),1),H6/12,0))</f>
        <v>200000</v>
      </c>
      <c r="X6" s="49">
        <f t="shared" ref="X6:X37" si="14">IF(OR(G6="",H6=""),0,IF(DATE(2027,4,1)&gt;=DATE(YEAR(G6),MONTH(G6),1),H6/12,0))</f>
        <v>200000</v>
      </c>
      <c r="Y6" s="49">
        <f t="shared" ref="Y6:Y37" si="15">IF(OR(G6="",H6=""),0,IF(DATE(2027,5,1)&gt;=DATE(YEAR(G6),MONTH(G6),1),H6/12,0))</f>
        <v>200000</v>
      </c>
      <c r="Z6" s="49">
        <f t="shared" ref="Z6:Z37" si="16">IF(OR(G6="",H6=""),0,IF(DATE(2027,6,1)&gt;=DATE(YEAR(G6),MONTH(G6),1),H6/12,0))</f>
        <v>200000</v>
      </c>
      <c r="AA6" s="49">
        <f t="shared" ref="AA6:AA37" si="17">IF(OR(G6="",H6=""),0,IF(DATE(2027,7,1)&gt;=DATE(YEAR(G6),MONTH(G6),1),H6/12,0))</f>
        <v>200000</v>
      </c>
      <c r="AB6" s="49">
        <f t="shared" ref="AB6:AB37" si="18">IF(OR(G6="",H6=""),0,IF(DATE(2027,8,1)&gt;=DATE(YEAR(G6),MONTH(G6),1),H6/12,0))</f>
        <v>200000</v>
      </c>
      <c r="AC6" s="49">
        <f t="shared" ref="AC6:AC37" si="19">IF(OR(G6="",H6=""),0,IF(DATE(2027,9,1)&gt;=DATE(YEAR(G6),MONTH(G6),1),H6/12,0))</f>
        <v>200000</v>
      </c>
      <c r="AD6" s="49">
        <f t="shared" ref="AD6:AD37" si="20">IF(OR(G6="",H6=""),0,IF(DATE(2027,10,1)&gt;=DATE(YEAR(G6),MONTH(G6),1),H6/12,0))</f>
        <v>200000</v>
      </c>
      <c r="AE6" s="49">
        <f t="shared" ref="AE6:AE37" si="21">IF(OR(G6="",H6=""),0,IF(DATE(2027,11,1)&gt;=DATE(YEAR(G6),MONTH(G6),1),H6/12,0))</f>
        <v>200000</v>
      </c>
      <c r="AF6" s="49">
        <f t="shared" ref="AF6:AF37" si="22">IF(OR(G6="",H6=""),0,IF(DATE(2027,12,1)&gt;=DATE(YEAR(G6),MONTH(G6),1),H6/12,0))</f>
        <v>200000</v>
      </c>
      <c r="AG6" s="51">
        <f t="shared" ref="AG6:AG37" si="23">SUM(U6:AF6)</f>
        <v>2400000</v>
      </c>
      <c r="AH6" s="52">
        <f t="shared" ref="AH6:AH37" si="24">T6+AG6</f>
        <v>3600000</v>
      </c>
      <c r="AI6" s="52">
        <f t="shared" ref="AI6:AI37" si="25">IF(OR(E6="",AH6=""),"",E6*AH6)</f>
        <v>720000</v>
      </c>
      <c r="AJ6" s="53" t="str">
        <f>IF('Pipeline Data Input'!M3="","",'Pipeline Data Input'!M3)</f>
        <v>Opp: ChampionX/DMM/WH/4000PP | Region: East</v>
      </c>
    </row>
    <row r="7" spans="1:36" ht="15" customHeight="1">
      <c r="A7" s="43">
        <v>2</v>
      </c>
      <c r="B7" s="44" t="str">
        <f>IF('Pipeline Data Input'!D4="","",'Pipeline Data Input'!D4)</f>
        <v>NALCO Ecolab</v>
      </c>
      <c r="C7" s="44" t="str">
        <f>IF('Pipeline Data Input'!E4="","",'Pipeline Data Input'!E4)</f>
        <v>Yazan Darwish</v>
      </c>
      <c r="D7" s="45" t="str">
        <f>IF('Pipeline Data Input'!J4="","",'Pipeline Data Input'!J4)</f>
        <v>Contract Negotiation</v>
      </c>
      <c r="E7" s="46">
        <f t="shared" si="0"/>
        <v>0.9</v>
      </c>
      <c r="F7" s="45" t="str">
        <f>IF('Pipeline Data Input'!B4="","",IFERROR(VLOOKUP('Pipeline Data Input'!B4,'Pipeline Data Input'!$A$66:$B$80,2,FALSE()),'Pipeline Data Input'!B4))</f>
        <v>Dammam 2nd Ind -Tad WH</v>
      </c>
      <c r="G7" s="47">
        <f>IF('Pipeline Data Input'!K4="","",'Pipeline Data Input'!K4)</f>
        <v>46174</v>
      </c>
      <c r="H7" s="48">
        <f>IF('Pipeline Data Input'!I4="",0,'Pipeline Data Input'!I4)</f>
        <v>2400000</v>
      </c>
      <c r="I7" s="49">
        <f t="shared" si="1"/>
        <v>1400000</v>
      </c>
      <c r="J7" s="50">
        <f>IF('Pipeline Data Input'!F4="",0,'Pipeline Data Input'!F4)</f>
        <v>4000</v>
      </c>
      <c r="K7" s="50">
        <f>IF('Pipeline Data Input'!G4="",0,'Pipeline Data Input'!G4)</f>
        <v>0</v>
      </c>
      <c r="L7" s="49">
        <f t="shared" si="2"/>
        <v>0</v>
      </c>
      <c r="M7" s="49">
        <f t="shared" si="3"/>
        <v>200000</v>
      </c>
      <c r="N7" s="49">
        <f t="shared" si="4"/>
        <v>200000</v>
      </c>
      <c r="O7" s="49">
        <f t="shared" si="5"/>
        <v>200000</v>
      </c>
      <c r="P7" s="49">
        <f t="shared" si="6"/>
        <v>200000</v>
      </c>
      <c r="Q7" s="49">
        <f t="shared" si="7"/>
        <v>200000</v>
      </c>
      <c r="R7" s="49">
        <f t="shared" si="8"/>
        <v>200000</v>
      </c>
      <c r="S7" s="49">
        <f t="shared" si="9"/>
        <v>200000</v>
      </c>
      <c r="T7" s="51">
        <f t="shared" si="10"/>
        <v>1400000</v>
      </c>
      <c r="U7" s="49">
        <f t="shared" si="11"/>
        <v>200000</v>
      </c>
      <c r="V7" s="49">
        <f t="shared" si="12"/>
        <v>200000</v>
      </c>
      <c r="W7" s="49">
        <f t="shared" si="13"/>
        <v>200000</v>
      </c>
      <c r="X7" s="49">
        <f t="shared" si="14"/>
        <v>200000</v>
      </c>
      <c r="Y7" s="49">
        <f t="shared" si="15"/>
        <v>200000</v>
      </c>
      <c r="Z7" s="49">
        <f t="shared" si="16"/>
        <v>200000</v>
      </c>
      <c r="AA7" s="49">
        <f t="shared" si="17"/>
        <v>200000</v>
      </c>
      <c r="AB7" s="49">
        <f t="shared" si="18"/>
        <v>200000</v>
      </c>
      <c r="AC7" s="49">
        <f t="shared" si="19"/>
        <v>200000</v>
      </c>
      <c r="AD7" s="49">
        <f t="shared" si="20"/>
        <v>200000</v>
      </c>
      <c r="AE7" s="49">
        <f t="shared" si="21"/>
        <v>200000</v>
      </c>
      <c r="AF7" s="49">
        <f t="shared" si="22"/>
        <v>200000</v>
      </c>
      <c r="AG7" s="51">
        <f t="shared" si="23"/>
        <v>2400000</v>
      </c>
      <c r="AH7" s="52">
        <f t="shared" si="24"/>
        <v>3800000</v>
      </c>
      <c r="AI7" s="52">
        <f t="shared" si="25"/>
        <v>3420000</v>
      </c>
      <c r="AJ7" s="53" t="str">
        <f>IF('Pipeline Data Input'!M4="","",'Pipeline Data Input'!M4)</f>
        <v>Opp: NALCO/WH/DMM/4000PP | Region: East</v>
      </c>
    </row>
    <row r="8" spans="1:36" ht="15" customHeight="1">
      <c r="A8" s="43">
        <v>3</v>
      </c>
      <c r="B8" s="44" t="str">
        <f>IF('Pipeline Data Input'!D5="","",'Pipeline Data Input'!D5)</f>
        <v>Synthomer ME</v>
      </c>
      <c r="C8" s="44" t="str">
        <f>IF('Pipeline Data Input'!E5="","",'Pipeline Data Input'!E5)</f>
        <v>Yazan Darwish</v>
      </c>
      <c r="D8" s="45" t="str">
        <f>IF('Pipeline Data Input'!J5="","",'Pipeline Data Input'!J5)</f>
        <v>Contract Negotiation</v>
      </c>
      <c r="E8" s="46">
        <f t="shared" si="0"/>
        <v>0.9</v>
      </c>
      <c r="F8" s="45" t="str">
        <f>IF('Pipeline Data Input'!B5="","",IFERROR(VLOOKUP('Pipeline Data Input'!B5,'Pipeline Data Input'!$A$66:$B$80,2,FALSE()),'Pipeline Data Input'!B5))</f>
        <v>Dammam 2nd Ind -Tad WH</v>
      </c>
      <c r="G8" s="47">
        <f>IF('Pipeline Data Input'!K5="","",'Pipeline Data Input'!K5)</f>
        <v>46157</v>
      </c>
      <c r="H8" s="48">
        <f>IF('Pipeline Data Input'!I5="",0,'Pipeline Data Input'!I5)</f>
        <v>900000</v>
      </c>
      <c r="I8" s="49">
        <f t="shared" si="1"/>
        <v>600000</v>
      </c>
      <c r="J8" s="50">
        <f>IF('Pipeline Data Input'!F5="",0,'Pipeline Data Input'!F5)</f>
        <v>1500</v>
      </c>
      <c r="K8" s="50">
        <f>IF('Pipeline Data Input'!G5="",0,'Pipeline Data Input'!G5)</f>
        <v>0</v>
      </c>
      <c r="L8" s="49">
        <f t="shared" si="2"/>
        <v>75000</v>
      </c>
      <c r="M8" s="49">
        <f t="shared" si="3"/>
        <v>75000</v>
      </c>
      <c r="N8" s="49">
        <f t="shared" si="4"/>
        <v>75000</v>
      </c>
      <c r="O8" s="49">
        <f t="shared" si="5"/>
        <v>75000</v>
      </c>
      <c r="P8" s="49">
        <f t="shared" si="6"/>
        <v>75000</v>
      </c>
      <c r="Q8" s="49">
        <f t="shared" si="7"/>
        <v>75000</v>
      </c>
      <c r="R8" s="49">
        <f t="shared" si="8"/>
        <v>75000</v>
      </c>
      <c r="S8" s="49">
        <f t="shared" si="9"/>
        <v>75000</v>
      </c>
      <c r="T8" s="51">
        <f t="shared" si="10"/>
        <v>600000</v>
      </c>
      <c r="U8" s="49">
        <f t="shared" si="11"/>
        <v>75000</v>
      </c>
      <c r="V8" s="49">
        <f t="shared" si="12"/>
        <v>75000</v>
      </c>
      <c r="W8" s="49">
        <f t="shared" si="13"/>
        <v>75000</v>
      </c>
      <c r="X8" s="49">
        <f t="shared" si="14"/>
        <v>75000</v>
      </c>
      <c r="Y8" s="49">
        <f t="shared" si="15"/>
        <v>75000</v>
      </c>
      <c r="Z8" s="49">
        <f t="shared" si="16"/>
        <v>75000</v>
      </c>
      <c r="AA8" s="49">
        <f t="shared" si="17"/>
        <v>75000</v>
      </c>
      <c r="AB8" s="49">
        <f t="shared" si="18"/>
        <v>75000</v>
      </c>
      <c r="AC8" s="49">
        <f t="shared" si="19"/>
        <v>75000</v>
      </c>
      <c r="AD8" s="49">
        <f t="shared" si="20"/>
        <v>75000</v>
      </c>
      <c r="AE8" s="49">
        <f t="shared" si="21"/>
        <v>75000</v>
      </c>
      <c r="AF8" s="49">
        <f t="shared" si="22"/>
        <v>75000</v>
      </c>
      <c r="AG8" s="51">
        <f t="shared" si="23"/>
        <v>900000</v>
      </c>
      <c r="AH8" s="52">
        <f t="shared" si="24"/>
        <v>1500000</v>
      </c>
      <c r="AI8" s="52">
        <f t="shared" si="25"/>
        <v>1350000</v>
      </c>
      <c r="AJ8" s="53" t="str">
        <f>IF('Pipeline Data Input'!M5="","",'Pipeline Data Input'!M5)</f>
        <v>Opp: Synthomer/WH/DMM/1500PP | Region: East</v>
      </c>
    </row>
    <row r="9" spans="1:36" ht="15" customHeight="1">
      <c r="A9" s="43">
        <v>4</v>
      </c>
      <c r="B9" s="44" t="str">
        <f>IF('Pipeline Data Input'!D6="","",'Pipeline Data Input'!D6)</f>
        <v>Transworld Saudi Logistics</v>
      </c>
      <c r="C9" s="44" t="str">
        <f>IF('Pipeline Data Input'!E6="","",'Pipeline Data Input'!E6)</f>
        <v>Yazan Darwish</v>
      </c>
      <c r="D9" s="45" t="str">
        <f>IF('Pipeline Data Input'!J6="","",'Pipeline Data Input'!J6)</f>
        <v>Proposal Sent</v>
      </c>
      <c r="E9" s="46">
        <f t="shared" si="0"/>
        <v>0.6</v>
      </c>
      <c r="F9" s="45" t="str">
        <f>IF('Pipeline Data Input'!B6="","",IFERROR(VLOOKUP('Pipeline Data Input'!B6,'Pipeline Data Input'!$A$66:$B$80,2,FALSE()),'Pipeline Data Input'!B6))</f>
        <v>Dammam 2nd Ind -Tad WH</v>
      </c>
      <c r="G9" s="47">
        <f>IF('Pipeline Data Input'!K6="","",'Pipeline Data Input'!K6)</f>
        <v>46143</v>
      </c>
      <c r="H9" s="48">
        <f>IF('Pipeline Data Input'!I6="",0,'Pipeline Data Input'!I6)</f>
        <v>420000</v>
      </c>
      <c r="I9" s="49">
        <f t="shared" si="1"/>
        <v>280000</v>
      </c>
      <c r="J9" s="50">
        <f>IF('Pipeline Data Input'!F6="",0,'Pipeline Data Input'!F6)</f>
        <v>500</v>
      </c>
      <c r="K9" s="50">
        <f>IF('Pipeline Data Input'!G6="",0,'Pipeline Data Input'!G6)</f>
        <v>0</v>
      </c>
      <c r="L9" s="49">
        <f t="shared" si="2"/>
        <v>35000</v>
      </c>
      <c r="M9" s="49">
        <f t="shared" si="3"/>
        <v>35000</v>
      </c>
      <c r="N9" s="49">
        <f t="shared" si="4"/>
        <v>35000</v>
      </c>
      <c r="O9" s="49">
        <f t="shared" si="5"/>
        <v>35000</v>
      </c>
      <c r="P9" s="49">
        <f t="shared" si="6"/>
        <v>35000</v>
      </c>
      <c r="Q9" s="49">
        <f t="shared" si="7"/>
        <v>35000</v>
      </c>
      <c r="R9" s="49">
        <f t="shared" si="8"/>
        <v>35000</v>
      </c>
      <c r="S9" s="49">
        <f t="shared" si="9"/>
        <v>35000</v>
      </c>
      <c r="T9" s="51">
        <f t="shared" si="10"/>
        <v>280000</v>
      </c>
      <c r="U9" s="49">
        <f t="shared" si="11"/>
        <v>35000</v>
      </c>
      <c r="V9" s="49">
        <f t="shared" si="12"/>
        <v>35000</v>
      </c>
      <c r="W9" s="49">
        <f t="shared" si="13"/>
        <v>35000</v>
      </c>
      <c r="X9" s="49">
        <f t="shared" si="14"/>
        <v>35000</v>
      </c>
      <c r="Y9" s="49">
        <f t="shared" si="15"/>
        <v>35000</v>
      </c>
      <c r="Z9" s="49">
        <f t="shared" si="16"/>
        <v>35000</v>
      </c>
      <c r="AA9" s="49">
        <f t="shared" si="17"/>
        <v>35000</v>
      </c>
      <c r="AB9" s="49">
        <f t="shared" si="18"/>
        <v>35000</v>
      </c>
      <c r="AC9" s="49">
        <f t="shared" si="19"/>
        <v>35000</v>
      </c>
      <c r="AD9" s="49">
        <f t="shared" si="20"/>
        <v>35000</v>
      </c>
      <c r="AE9" s="49">
        <f t="shared" si="21"/>
        <v>35000</v>
      </c>
      <c r="AF9" s="49">
        <f t="shared" si="22"/>
        <v>35000</v>
      </c>
      <c r="AG9" s="51">
        <f t="shared" si="23"/>
        <v>420000</v>
      </c>
      <c r="AH9" s="52">
        <f t="shared" si="24"/>
        <v>700000</v>
      </c>
      <c r="AI9" s="52">
        <f t="shared" si="25"/>
        <v>420000</v>
      </c>
      <c r="AJ9" s="53" t="str">
        <f>IF('Pipeline Data Input'!M6="","",'Pipeline Data Input'!M6)</f>
        <v>Opp: Transworld/DMM/WH/500PP | Region: East</v>
      </c>
    </row>
    <row r="10" spans="1:36" ht="15" customHeight="1">
      <c r="A10" s="43">
        <v>5</v>
      </c>
      <c r="B10" s="44" t="str">
        <f>IF('Pipeline Data Input'!D7="","",'Pipeline Data Input'!D7)</f>
        <v>Schmidt</v>
      </c>
      <c r="C10" s="44" t="str">
        <f>IF('Pipeline Data Input'!E7="","",'Pipeline Data Input'!E7)</f>
        <v>Yazan Darwish</v>
      </c>
      <c r="D10" s="45" t="str">
        <f>IF('Pipeline Data Input'!J7="","",'Pipeline Data Input'!J7)</f>
        <v>Proposal Sent</v>
      </c>
      <c r="E10" s="46">
        <f t="shared" si="0"/>
        <v>0.6</v>
      </c>
      <c r="F10" s="45" t="str">
        <f>IF('Pipeline Data Input'!B7="","",IFERROR(VLOOKUP('Pipeline Data Input'!B7,'Pipeline Data Input'!$A$66:$B$80,2,FALSE()),'Pipeline Data Input'!B7))</f>
        <v>Dammam 2nd Ind -Tad WH</v>
      </c>
      <c r="G10" s="47">
        <f>IF('Pipeline Data Input'!K7="","",'Pipeline Data Input'!K7)</f>
        <v>46143</v>
      </c>
      <c r="H10" s="48">
        <f>IF('Pipeline Data Input'!I7="",0,'Pipeline Data Input'!I7)</f>
        <v>264000</v>
      </c>
      <c r="I10" s="49">
        <f t="shared" si="1"/>
        <v>176000</v>
      </c>
      <c r="J10" s="50">
        <f>IF('Pipeline Data Input'!F7="",0,'Pipeline Data Input'!F7)</f>
        <v>400</v>
      </c>
      <c r="K10" s="50">
        <f>IF('Pipeline Data Input'!G7="",0,'Pipeline Data Input'!G7)</f>
        <v>0</v>
      </c>
      <c r="L10" s="49">
        <f t="shared" si="2"/>
        <v>22000</v>
      </c>
      <c r="M10" s="49">
        <f t="shared" si="3"/>
        <v>22000</v>
      </c>
      <c r="N10" s="49">
        <f t="shared" si="4"/>
        <v>22000</v>
      </c>
      <c r="O10" s="49">
        <f t="shared" si="5"/>
        <v>22000</v>
      </c>
      <c r="P10" s="49">
        <f t="shared" si="6"/>
        <v>22000</v>
      </c>
      <c r="Q10" s="49">
        <f t="shared" si="7"/>
        <v>22000</v>
      </c>
      <c r="R10" s="49">
        <f t="shared" si="8"/>
        <v>22000</v>
      </c>
      <c r="S10" s="49">
        <f t="shared" si="9"/>
        <v>22000</v>
      </c>
      <c r="T10" s="51">
        <f t="shared" si="10"/>
        <v>176000</v>
      </c>
      <c r="U10" s="49">
        <f t="shared" si="11"/>
        <v>22000</v>
      </c>
      <c r="V10" s="49">
        <f t="shared" si="12"/>
        <v>22000</v>
      </c>
      <c r="W10" s="49">
        <f t="shared" si="13"/>
        <v>22000</v>
      </c>
      <c r="X10" s="49">
        <f t="shared" si="14"/>
        <v>22000</v>
      </c>
      <c r="Y10" s="49">
        <f t="shared" si="15"/>
        <v>22000</v>
      </c>
      <c r="Z10" s="49">
        <f t="shared" si="16"/>
        <v>22000</v>
      </c>
      <c r="AA10" s="49">
        <f t="shared" si="17"/>
        <v>22000</v>
      </c>
      <c r="AB10" s="49">
        <f t="shared" si="18"/>
        <v>22000</v>
      </c>
      <c r="AC10" s="49">
        <f t="shared" si="19"/>
        <v>22000</v>
      </c>
      <c r="AD10" s="49">
        <f t="shared" si="20"/>
        <v>22000</v>
      </c>
      <c r="AE10" s="49">
        <f t="shared" si="21"/>
        <v>22000</v>
      </c>
      <c r="AF10" s="49">
        <f t="shared" si="22"/>
        <v>22000</v>
      </c>
      <c r="AG10" s="51">
        <f t="shared" si="23"/>
        <v>264000</v>
      </c>
      <c r="AH10" s="52">
        <f t="shared" si="24"/>
        <v>440000</v>
      </c>
      <c r="AI10" s="52">
        <f t="shared" si="25"/>
        <v>264000</v>
      </c>
      <c r="AJ10" s="53" t="str">
        <f>IF('Pipeline Data Input'!M7="","",'Pipeline Data Input'!M7)</f>
        <v>Opp: Schmidt/WH/DMM2/400PP | Region: East</v>
      </c>
    </row>
    <row r="11" spans="1:36" ht="15" customHeight="1">
      <c r="A11" s="43">
        <v>6</v>
      </c>
      <c r="B11" s="44" t="str">
        <f>IF('Pipeline Data Input'!D8="","",'Pipeline Data Input'!D8)</f>
        <v>Zaghami</v>
      </c>
      <c r="C11" s="44" t="str">
        <f>IF('Pipeline Data Input'!E8="","",'Pipeline Data Input'!E8)</f>
        <v>Yazan Darwish</v>
      </c>
      <c r="D11" s="45" t="str">
        <f>IF('Pipeline Data Input'!J8="","",'Pipeline Data Input'!J8)</f>
        <v>Proposal Sent</v>
      </c>
      <c r="E11" s="46">
        <f t="shared" si="0"/>
        <v>0.6</v>
      </c>
      <c r="F11" s="45" t="str">
        <f>IF('Pipeline Data Input'!B8="","",IFERROR(VLOOKUP('Pipeline Data Input'!B8,'Pipeline Data Input'!$A$66:$B$80,2,FALSE()),'Pipeline Data Input'!B8))</f>
        <v>Dammam 2nd Ind -Tad WH</v>
      </c>
      <c r="G11" s="47">
        <f>IF('Pipeline Data Input'!K8="","",'Pipeline Data Input'!K8)</f>
        <v>46235</v>
      </c>
      <c r="H11" s="48">
        <f>IF('Pipeline Data Input'!I8="",0,'Pipeline Data Input'!I8)</f>
        <v>210000</v>
      </c>
      <c r="I11" s="49">
        <f t="shared" si="1"/>
        <v>87500</v>
      </c>
      <c r="J11" s="50">
        <f>IF('Pipeline Data Input'!F8="",0,'Pipeline Data Input'!F8)</f>
        <v>250</v>
      </c>
      <c r="K11" s="50">
        <f>IF('Pipeline Data Input'!G8="",0,'Pipeline Data Input'!G8)</f>
        <v>0</v>
      </c>
      <c r="L11" s="49">
        <f t="shared" si="2"/>
        <v>0</v>
      </c>
      <c r="M11" s="49">
        <f t="shared" si="3"/>
        <v>0</v>
      </c>
      <c r="N11" s="49">
        <f t="shared" si="4"/>
        <v>0</v>
      </c>
      <c r="O11" s="49">
        <f t="shared" si="5"/>
        <v>17500</v>
      </c>
      <c r="P11" s="49">
        <f t="shared" si="6"/>
        <v>17500</v>
      </c>
      <c r="Q11" s="49">
        <f t="shared" si="7"/>
        <v>17500</v>
      </c>
      <c r="R11" s="49">
        <f t="shared" si="8"/>
        <v>17500</v>
      </c>
      <c r="S11" s="49">
        <f t="shared" si="9"/>
        <v>17500</v>
      </c>
      <c r="T11" s="51">
        <f t="shared" si="10"/>
        <v>87500</v>
      </c>
      <c r="U11" s="49">
        <f t="shared" si="11"/>
        <v>17500</v>
      </c>
      <c r="V11" s="49">
        <f t="shared" si="12"/>
        <v>17500</v>
      </c>
      <c r="W11" s="49">
        <f t="shared" si="13"/>
        <v>17500</v>
      </c>
      <c r="X11" s="49">
        <f t="shared" si="14"/>
        <v>17500</v>
      </c>
      <c r="Y11" s="49">
        <f t="shared" si="15"/>
        <v>17500</v>
      </c>
      <c r="Z11" s="49">
        <f t="shared" si="16"/>
        <v>17500</v>
      </c>
      <c r="AA11" s="49">
        <f t="shared" si="17"/>
        <v>17500</v>
      </c>
      <c r="AB11" s="49">
        <f t="shared" si="18"/>
        <v>17500</v>
      </c>
      <c r="AC11" s="49">
        <f t="shared" si="19"/>
        <v>17500</v>
      </c>
      <c r="AD11" s="49">
        <f t="shared" si="20"/>
        <v>17500</v>
      </c>
      <c r="AE11" s="49">
        <f t="shared" si="21"/>
        <v>17500</v>
      </c>
      <c r="AF11" s="49">
        <f t="shared" si="22"/>
        <v>17500</v>
      </c>
      <c r="AG11" s="51">
        <f t="shared" si="23"/>
        <v>210000</v>
      </c>
      <c r="AH11" s="52">
        <f t="shared" si="24"/>
        <v>297500</v>
      </c>
      <c r="AI11" s="52">
        <f t="shared" si="25"/>
        <v>178500</v>
      </c>
      <c r="AJ11" s="53" t="str">
        <f>IF('Pipeline Data Input'!M8="","",'Pipeline Data Input'!M8)</f>
        <v>Opp: Zaghami/WH/DMM/250PP | Region: East</v>
      </c>
    </row>
    <row r="12" spans="1:36" ht="15" customHeight="1">
      <c r="A12" s="43">
        <v>7</v>
      </c>
      <c r="B12" s="44" t="str">
        <f>IF('Pipeline Data Input'!D9="","",'Pipeline Data Input'!D9)</f>
        <v>Transworld Saudi Logistics</v>
      </c>
      <c r="C12" s="44" t="str">
        <f>IF('Pipeline Data Input'!E9="","",'Pipeline Data Input'!E9)</f>
        <v>Yazan Darwish</v>
      </c>
      <c r="D12" s="45" t="str">
        <f>IF('Pipeline Data Input'!J9="","",'Pipeline Data Input'!J9)</f>
        <v>Proposal Sent</v>
      </c>
      <c r="E12" s="46">
        <f t="shared" si="0"/>
        <v>0.6</v>
      </c>
      <c r="F12" s="45" t="str">
        <f>IF('Pipeline Data Input'!B9="","",IFERROR(VLOOKUP('Pipeline Data Input'!B9,'Pipeline Data Input'!$A$66:$B$80,2,FALSE()),'Pipeline Data Input'!B9))</f>
        <v>Dammam 2nd Ind -Tad WH</v>
      </c>
      <c r="G12" s="47">
        <f>IF('Pipeline Data Input'!K9="","",'Pipeline Data Input'!K9)</f>
        <v>46174</v>
      </c>
      <c r="H12" s="48">
        <f>IF('Pipeline Data Input'!I9="",0,'Pipeline Data Input'!I9)</f>
        <v>162500</v>
      </c>
      <c r="I12" s="49">
        <f t="shared" si="1"/>
        <v>94791.666666666672</v>
      </c>
      <c r="J12" s="50">
        <f>IF('Pipeline Data Input'!F9="",0,'Pipeline Data Input'!F9)</f>
        <v>250</v>
      </c>
      <c r="K12" s="50">
        <f>IF('Pipeline Data Input'!G9="",0,'Pipeline Data Input'!G9)</f>
        <v>0</v>
      </c>
      <c r="L12" s="49">
        <f t="shared" si="2"/>
        <v>0</v>
      </c>
      <c r="M12" s="49">
        <f t="shared" si="3"/>
        <v>13541.666666666666</v>
      </c>
      <c r="N12" s="49">
        <f t="shared" si="4"/>
        <v>13541.666666666666</v>
      </c>
      <c r="O12" s="49">
        <f t="shared" si="5"/>
        <v>13541.666666666666</v>
      </c>
      <c r="P12" s="49">
        <f t="shared" si="6"/>
        <v>13541.666666666666</v>
      </c>
      <c r="Q12" s="49">
        <f t="shared" si="7"/>
        <v>13541.666666666666</v>
      </c>
      <c r="R12" s="49">
        <f t="shared" si="8"/>
        <v>13541.666666666666</v>
      </c>
      <c r="S12" s="49">
        <f t="shared" si="9"/>
        <v>13541.666666666666</v>
      </c>
      <c r="T12" s="51">
        <f t="shared" si="10"/>
        <v>94791.666666666672</v>
      </c>
      <c r="U12" s="49">
        <f t="shared" si="11"/>
        <v>13541.666666666666</v>
      </c>
      <c r="V12" s="49">
        <f t="shared" si="12"/>
        <v>13541.666666666666</v>
      </c>
      <c r="W12" s="49">
        <f t="shared" si="13"/>
        <v>13541.666666666666</v>
      </c>
      <c r="X12" s="49">
        <f t="shared" si="14"/>
        <v>13541.666666666666</v>
      </c>
      <c r="Y12" s="49">
        <f t="shared" si="15"/>
        <v>13541.666666666666</v>
      </c>
      <c r="Z12" s="49">
        <f t="shared" si="16"/>
        <v>13541.666666666666</v>
      </c>
      <c r="AA12" s="49">
        <f t="shared" si="17"/>
        <v>13541.666666666666</v>
      </c>
      <c r="AB12" s="49">
        <f t="shared" si="18"/>
        <v>13541.666666666666</v>
      </c>
      <c r="AC12" s="49">
        <f t="shared" si="19"/>
        <v>13541.666666666666</v>
      </c>
      <c r="AD12" s="49">
        <f t="shared" si="20"/>
        <v>13541.666666666666</v>
      </c>
      <c r="AE12" s="49">
        <f t="shared" si="21"/>
        <v>13541.666666666666</v>
      </c>
      <c r="AF12" s="49">
        <f t="shared" si="22"/>
        <v>13541.666666666666</v>
      </c>
      <c r="AG12" s="51">
        <f t="shared" si="23"/>
        <v>162500</v>
      </c>
      <c r="AH12" s="52">
        <f t="shared" si="24"/>
        <v>257291.66666666669</v>
      </c>
      <c r="AI12" s="52">
        <f t="shared" si="25"/>
        <v>154375</v>
      </c>
      <c r="AJ12" s="53" t="str">
        <f>IF('Pipeline Data Input'!M9="","",'Pipeline Data Input'!M9)</f>
        <v>⚠ Source Exp CY (113,750) ≠ ACV/12 implied (94,792) | Opp: Transworld/DMM/WH/250PP | Region: East</v>
      </c>
    </row>
    <row r="13" spans="1:36" ht="15" customHeight="1">
      <c r="A13" s="43">
        <v>8</v>
      </c>
      <c r="B13" s="44" t="str">
        <f>IF('Pipeline Data Input'!D10="","",'Pipeline Data Input'!D10)</f>
        <v>i-Energy</v>
      </c>
      <c r="C13" s="44" t="str">
        <f>IF('Pipeline Data Input'!E10="","",'Pipeline Data Input'!E10)</f>
        <v>Yazan Darwish</v>
      </c>
      <c r="D13" s="45" t="str">
        <f>IF('Pipeline Data Input'!J10="","",'Pipeline Data Input'!J10)</f>
        <v>Proposal Sent</v>
      </c>
      <c r="E13" s="46">
        <f t="shared" si="0"/>
        <v>0.6</v>
      </c>
      <c r="F13" s="45" t="str">
        <f>IF('Pipeline Data Input'!B10="","",IFERROR(VLOOKUP('Pipeline Data Input'!B10,'Pipeline Data Input'!$A$66:$B$80,2,FALSE()),'Pipeline Data Input'!B10))</f>
        <v>Dammam 2nd Ind -Tad WH</v>
      </c>
      <c r="G13" s="47">
        <f>IF('Pipeline Data Input'!K10="","",'Pipeline Data Input'!K10)</f>
        <v>46143</v>
      </c>
      <c r="H13" s="48">
        <f>IF('Pipeline Data Input'!I10="",0,'Pipeline Data Input'!I10)</f>
        <v>150000</v>
      </c>
      <c r="I13" s="49">
        <f t="shared" si="1"/>
        <v>100000</v>
      </c>
      <c r="J13" s="50">
        <f>IF('Pipeline Data Input'!F10="",0,'Pipeline Data Input'!F10)</f>
        <v>250</v>
      </c>
      <c r="K13" s="50">
        <f>IF('Pipeline Data Input'!G10="",0,'Pipeline Data Input'!G10)</f>
        <v>0</v>
      </c>
      <c r="L13" s="49">
        <f t="shared" si="2"/>
        <v>12500</v>
      </c>
      <c r="M13" s="49">
        <f t="shared" si="3"/>
        <v>12500</v>
      </c>
      <c r="N13" s="49">
        <f t="shared" si="4"/>
        <v>12500</v>
      </c>
      <c r="O13" s="49">
        <f t="shared" si="5"/>
        <v>12500</v>
      </c>
      <c r="P13" s="49">
        <f t="shared" si="6"/>
        <v>12500</v>
      </c>
      <c r="Q13" s="49">
        <f t="shared" si="7"/>
        <v>12500</v>
      </c>
      <c r="R13" s="49">
        <f t="shared" si="8"/>
        <v>12500</v>
      </c>
      <c r="S13" s="49">
        <f t="shared" si="9"/>
        <v>12500</v>
      </c>
      <c r="T13" s="51">
        <f t="shared" si="10"/>
        <v>100000</v>
      </c>
      <c r="U13" s="49">
        <f t="shared" si="11"/>
        <v>12500</v>
      </c>
      <c r="V13" s="49">
        <f t="shared" si="12"/>
        <v>12500</v>
      </c>
      <c r="W13" s="49">
        <f t="shared" si="13"/>
        <v>12500</v>
      </c>
      <c r="X13" s="49">
        <f t="shared" si="14"/>
        <v>12500</v>
      </c>
      <c r="Y13" s="49">
        <f t="shared" si="15"/>
        <v>12500</v>
      </c>
      <c r="Z13" s="49">
        <f t="shared" si="16"/>
        <v>12500</v>
      </c>
      <c r="AA13" s="49">
        <f t="shared" si="17"/>
        <v>12500</v>
      </c>
      <c r="AB13" s="49">
        <f t="shared" si="18"/>
        <v>12500</v>
      </c>
      <c r="AC13" s="49">
        <f t="shared" si="19"/>
        <v>12500</v>
      </c>
      <c r="AD13" s="49">
        <f t="shared" si="20"/>
        <v>12500</v>
      </c>
      <c r="AE13" s="49">
        <f t="shared" si="21"/>
        <v>12500</v>
      </c>
      <c r="AF13" s="49">
        <f t="shared" si="22"/>
        <v>12500</v>
      </c>
      <c r="AG13" s="51">
        <f t="shared" si="23"/>
        <v>150000</v>
      </c>
      <c r="AH13" s="52">
        <f t="shared" si="24"/>
        <v>250000</v>
      </c>
      <c r="AI13" s="52">
        <f t="shared" si="25"/>
        <v>150000</v>
      </c>
      <c r="AJ13" s="53" t="str">
        <f>IF('Pipeline Data Input'!M10="","",'Pipeline Data Input'!M10)</f>
        <v>Opp: iEnergy/WH/DMM2/250PP | Region: East</v>
      </c>
    </row>
    <row r="14" spans="1:36" ht="15" customHeight="1">
      <c r="A14" s="43">
        <v>9</v>
      </c>
      <c r="B14" s="44" t="str">
        <f>IF('Pipeline Data Input'!D11="","",'Pipeline Data Input'!D11)</f>
        <v>FMS Group</v>
      </c>
      <c r="C14" s="44" t="str">
        <f>IF('Pipeline Data Input'!E11="","",'Pipeline Data Input'!E11)</f>
        <v>Yazan Darwish</v>
      </c>
      <c r="D14" s="45" t="str">
        <f>IF('Pipeline Data Input'!J11="","",'Pipeline Data Input'!J11)</f>
        <v>Proposal Sent</v>
      </c>
      <c r="E14" s="46">
        <f t="shared" si="0"/>
        <v>0.6</v>
      </c>
      <c r="F14" s="45" t="str">
        <f>IF('Pipeline Data Input'!B11="","",IFERROR(VLOOKUP('Pipeline Data Input'!B11,'Pipeline Data Input'!$A$66:$B$80,2,FALSE()),'Pipeline Data Input'!B11))</f>
        <v>Dammam 2nd Ind -Tad WH</v>
      </c>
      <c r="G14" s="47">
        <f>IF('Pipeline Data Input'!K11="","",'Pipeline Data Input'!K11)</f>
        <v>46174</v>
      </c>
      <c r="H14" s="48">
        <f>IF('Pipeline Data Input'!I11="",0,'Pipeline Data Input'!I11)</f>
        <v>50000</v>
      </c>
      <c r="I14" s="49">
        <f t="shared" si="1"/>
        <v>29166.666666666672</v>
      </c>
      <c r="J14" s="50">
        <f>IF('Pipeline Data Input'!F11="",0,'Pipeline Data Input'!F11)</f>
        <v>100</v>
      </c>
      <c r="K14" s="50">
        <f>IF('Pipeline Data Input'!G11="",0,'Pipeline Data Input'!G11)</f>
        <v>0</v>
      </c>
      <c r="L14" s="49">
        <f t="shared" si="2"/>
        <v>0</v>
      </c>
      <c r="M14" s="49">
        <f t="shared" si="3"/>
        <v>4166.666666666667</v>
      </c>
      <c r="N14" s="49">
        <f t="shared" si="4"/>
        <v>4166.666666666667</v>
      </c>
      <c r="O14" s="49">
        <f t="shared" si="5"/>
        <v>4166.666666666667</v>
      </c>
      <c r="P14" s="49">
        <f t="shared" si="6"/>
        <v>4166.666666666667</v>
      </c>
      <c r="Q14" s="49">
        <f t="shared" si="7"/>
        <v>4166.666666666667</v>
      </c>
      <c r="R14" s="49">
        <f t="shared" si="8"/>
        <v>4166.666666666667</v>
      </c>
      <c r="S14" s="49">
        <f t="shared" si="9"/>
        <v>4166.666666666667</v>
      </c>
      <c r="T14" s="51">
        <f t="shared" si="10"/>
        <v>29166.666666666672</v>
      </c>
      <c r="U14" s="49">
        <f t="shared" si="11"/>
        <v>4166.666666666667</v>
      </c>
      <c r="V14" s="49">
        <f t="shared" si="12"/>
        <v>4166.666666666667</v>
      </c>
      <c r="W14" s="49">
        <f t="shared" si="13"/>
        <v>4166.666666666667</v>
      </c>
      <c r="X14" s="49">
        <f t="shared" si="14"/>
        <v>4166.666666666667</v>
      </c>
      <c r="Y14" s="49">
        <f t="shared" si="15"/>
        <v>4166.666666666667</v>
      </c>
      <c r="Z14" s="49">
        <f t="shared" si="16"/>
        <v>4166.666666666667</v>
      </c>
      <c r="AA14" s="49">
        <f t="shared" si="17"/>
        <v>4166.666666666667</v>
      </c>
      <c r="AB14" s="49">
        <f t="shared" si="18"/>
        <v>4166.666666666667</v>
      </c>
      <c r="AC14" s="49">
        <f t="shared" si="19"/>
        <v>4166.666666666667</v>
      </c>
      <c r="AD14" s="49">
        <f t="shared" si="20"/>
        <v>4166.666666666667</v>
      </c>
      <c r="AE14" s="49">
        <f t="shared" si="21"/>
        <v>4166.666666666667</v>
      </c>
      <c r="AF14" s="49">
        <f t="shared" si="22"/>
        <v>4166.666666666667</v>
      </c>
      <c r="AG14" s="51">
        <f t="shared" si="23"/>
        <v>49999.999999999993</v>
      </c>
      <c r="AH14" s="52">
        <f t="shared" si="24"/>
        <v>79166.666666666657</v>
      </c>
      <c r="AI14" s="52">
        <f t="shared" si="25"/>
        <v>47499.999999999993</v>
      </c>
      <c r="AJ14" s="53" t="str">
        <f>IF('Pipeline Data Input'!M11="","",'Pipeline Data Input'!M11)</f>
        <v>⚠ Source Exp CY (35,000) ≠ ACV/12 implied (29,167) | Opp: FMS/DMM/WH/100PP | Region: East</v>
      </c>
    </row>
    <row r="15" spans="1:36" ht="15" customHeight="1">
      <c r="A15" s="43">
        <v>10</v>
      </c>
      <c r="B15" s="44" t="str">
        <f>IF('Pipeline Data Input'!D12="","",'Pipeline Data Input'!D12)</f>
        <v>El Ajou Group</v>
      </c>
      <c r="C15" s="44" t="str">
        <f>IF('Pipeline Data Input'!E12="","",'Pipeline Data Input'!E12)</f>
        <v>Yazan Darwish</v>
      </c>
      <c r="D15" s="45" t="str">
        <f>IF('Pipeline Data Input'!J12="","",'Pipeline Data Input'!J12)</f>
        <v>Proposal Sent</v>
      </c>
      <c r="E15" s="46">
        <f t="shared" si="0"/>
        <v>0.6</v>
      </c>
      <c r="F15" s="45" t="str">
        <f>IF('Pipeline Data Input'!B12="","",IFERROR(VLOOKUP('Pipeline Data Input'!B12,'Pipeline Data Input'!$A$66:$B$80,2,FALSE()),'Pipeline Data Input'!B12))</f>
        <v>Dammam 2nd Ind -Tad WH</v>
      </c>
      <c r="G15" s="47">
        <f>IF('Pipeline Data Input'!K12="","",'Pipeline Data Input'!K12)</f>
        <v>46204</v>
      </c>
      <c r="H15" s="48">
        <f>IF('Pipeline Data Input'!I12="",0,'Pipeline Data Input'!I12)</f>
        <v>78000</v>
      </c>
      <c r="I15" s="49">
        <f t="shared" si="1"/>
        <v>39000</v>
      </c>
      <c r="J15" s="50">
        <f>IF('Pipeline Data Input'!F12="",0,'Pipeline Data Input'!F12)</f>
        <v>100</v>
      </c>
      <c r="K15" s="50">
        <f>IF('Pipeline Data Input'!G12="",0,'Pipeline Data Input'!G12)</f>
        <v>0</v>
      </c>
      <c r="L15" s="49">
        <f t="shared" si="2"/>
        <v>0</v>
      </c>
      <c r="M15" s="49">
        <f t="shared" si="3"/>
        <v>0</v>
      </c>
      <c r="N15" s="49">
        <f t="shared" si="4"/>
        <v>6500</v>
      </c>
      <c r="O15" s="49">
        <f t="shared" si="5"/>
        <v>6500</v>
      </c>
      <c r="P15" s="49">
        <f t="shared" si="6"/>
        <v>6500</v>
      </c>
      <c r="Q15" s="49">
        <f t="shared" si="7"/>
        <v>6500</v>
      </c>
      <c r="R15" s="49">
        <f t="shared" si="8"/>
        <v>6500</v>
      </c>
      <c r="S15" s="49">
        <f t="shared" si="9"/>
        <v>6500</v>
      </c>
      <c r="T15" s="51">
        <f t="shared" si="10"/>
        <v>39000</v>
      </c>
      <c r="U15" s="49">
        <f t="shared" si="11"/>
        <v>6500</v>
      </c>
      <c r="V15" s="49">
        <f t="shared" si="12"/>
        <v>6500</v>
      </c>
      <c r="W15" s="49">
        <f t="shared" si="13"/>
        <v>6500</v>
      </c>
      <c r="X15" s="49">
        <f t="shared" si="14"/>
        <v>6500</v>
      </c>
      <c r="Y15" s="49">
        <f t="shared" si="15"/>
        <v>6500</v>
      </c>
      <c r="Z15" s="49">
        <f t="shared" si="16"/>
        <v>6500</v>
      </c>
      <c r="AA15" s="49">
        <f t="shared" si="17"/>
        <v>6500</v>
      </c>
      <c r="AB15" s="49">
        <f t="shared" si="18"/>
        <v>6500</v>
      </c>
      <c r="AC15" s="49">
        <f t="shared" si="19"/>
        <v>6500</v>
      </c>
      <c r="AD15" s="49">
        <f t="shared" si="20"/>
        <v>6500</v>
      </c>
      <c r="AE15" s="49">
        <f t="shared" si="21"/>
        <v>6500</v>
      </c>
      <c r="AF15" s="49">
        <f t="shared" si="22"/>
        <v>6500</v>
      </c>
      <c r="AG15" s="51">
        <f t="shared" si="23"/>
        <v>78000</v>
      </c>
      <c r="AH15" s="52">
        <f t="shared" si="24"/>
        <v>117000</v>
      </c>
      <c r="AI15" s="52">
        <f t="shared" si="25"/>
        <v>70200</v>
      </c>
      <c r="AJ15" s="53" t="str">
        <f>IF('Pipeline Data Input'!M12="","",'Pipeline Data Input'!M12)</f>
        <v>Opp: El Ajou Group/WH/DAMM2nd/100PP | Region: East</v>
      </c>
    </row>
    <row r="16" spans="1:36" ht="15" customHeight="1">
      <c r="A16" s="43">
        <v>11</v>
      </c>
      <c r="B16" s="44" t="str">
        <f>IF('Pipeline Data Input'!D13="","",'Pipeline Data Input'!D13)</f>
        <v>JAS</v>
      </c>
      <c r="C16" s="44" t="str">
        <f>IF('Pipeline Data Input'!E13="","",'Pipeline Data Input'!E13)</f>
        <v>Yazan Darwish</v>
      </c>
      <c r="D16" s="45" t="str">
        <f>IF('Pipeline Data Input'!J13="","",'Pipeline Data Input'!J13)</f>
        <v>Shortlisted</v>
      </c>
      <c r="E16" s="46">
        <f t="shared" si="0"/>
        <v>0.75</v>
      </c>
      <c r="F16" s="45" t="str">
        <f>IF('Pipeline Data Input'!B13="","",IFERROR(VLOOKUP('Pipeline Data Input'!B13,'Pipeline Data Input'!$A$66:$B$80,2,FALSE()),'Pipeline Data Input'!B13))</f>
        <v>Jubail 1</v>
      </c>
      <c r="G16" s="47">
        <f>IF('Pipeline Data Input'!K13="","",'Pipeline Data Input'!K13)</f>
        <v>46174</v>
      </c>
      <c r="H16" s="48">
        <f>IF('Pipeline Data Input'!I13="",0,'Pipeline Data Input'!I13)</f>
        <v>924000</v>
      </c>
      <c r="I16" s="49">
        <f t="shared" si="1"/>
        <v>539000</v>
      </c>
      <c r="J16" s="50">
        <f>IF('Pipeline Data Input'!F13="",0,'Pipeline Data Input'!F13)</f>
        <v>1400</v>
      </c>
      <c r="K16" s="50">
        <f>IF('Pipeline Data Input'!G13="",0,'Pipeline Data Input'!G13)</f>
        <v>0</v>
      </c>
      <c r="L16" s="49">
        <f t="shared" si="2"/>
        <v>0</v>
      </c>
      <c r="M16" s="49">
        <f t="shared" si="3"/>
        <v>77000</v>
      </c>
      <c r="N16" s="49">
        <f t="shared" si="4"/>
        <v>77000</v>
      </c>
      <c r="O16" s="49">
        <f t="shared" si="5"/>
        <v>77000</v>
      </c>
      <c r="P16" s="49">
        <f t="shared" si="6"/>
        <v>77000</v>
      </c>
      <c r="Q16" s="49">
        <f t="shared" si="7"/>
        <v>77000</v>
      </c>
      <c r="R16" s="49">
        <f t="shared" si="8"/>
        <v>77000</v>
      </c>
      <c r="S16" s="49">
        <f t="shared" si="9"/>
        <v>77000</v>
      </c>
      <c r="T16" s="51">
        <f t="shared" si="10"/>
        <v>539000</v>
      </c>
      <c r="U16" s="49">
        <f t="shared" si="11"/>
        <v>77000</v>
      </c>
      <c r="V16" s="49">
        <f t="shared" si="12"/>
        <v>77000</v>
      </c>
      <c r="W16" s="49">
        <f t="shared" si="13"/>
        <v>77000</v>
      </c>
      <c r="X16" s="49">
        <f t="shared" si="14"/>
        <v>77000</v>
      </c>
      <c r="Y16" s="49">
        <f t="shared" si="15"/>
        <v>77000</v>
      </c>
      <c r="Z16" s="49">
        <f t="shared" si="16"/>
        <v>77000</v>
      </c>
      <c r="AA16" s="49">
        <f t="shared" si="17"/>
        <v>77000</v>
      </c>
      <c r="AB16" s="49">
        <f t="shared" si="18"/>
        <v>77000</v>
      </c>
      <c r="AC16" s="49">
        <f t="shared" si="19"/>
        <v>77000</v>
      </c>
      <c r="AD16" s="49">
        <f t="shared" si="20"/>
        <v>77000</v>
      </c>
      <c r="AE16" s="49">
        <f t="shared" si="21"/>
        <v>77000</v>
      </c>
      <c r="AF16" s="49">
        <f t="shared" si="22"/>
        <v>77000</v>
      </c>
      <c r="AG16" s="51">
        <f t="shared" si="23"/>
        <v>924000</v>
      </c>
      <c r="AH16" s="52">
        <f t="shared" si="24"/>
        <v>1463000</v>
      </c>
      <c r="AI16" s="52">
        <f t="shared" si="25"/>
        <v>1097250</v>
      </c>
      <c r="AJ16" s="53" t="str">
        <f>IF('Pipeline Data Input'!M13="","",'Pipeline Data Input'!M13)</f>
        <v>Opp: JAS/WH/JUB/1400PP | Region: East</v>
      </c>
    </row>
    <row r="17" spans="1:36" ht="15" customHeight="1">
      <c r="A17" s="43">
        <v>12</v>
      </c>
      <c r="B17" s="44" t="str">
        <f>IF('Pipeline Data Input'!D14="","",'Pipeline Data Input'!D14)</f>
        <v>LX Pantos Logistics</v>
      </c>
      <c r="C17" s="44" t="str">
        <f>IF('Pipeline Data Input'!E14="","",'Pipeline Data Input'!E14)</f>
        <v>Yazan Darwish</v>
      </c>
      <c r="D17" s="45" t="str">
        <f>IF('Pipeline Data Input'!J14="","",'Pipeline Data Input'!J14)</f>
        <v>Shortlisted</v>
      </c>
      <c r="E17" s="46">
        <f t="shared" si="0"/>
        <v>0.75</v>
      </c>
      <c r="F17" s="45" t="str">
        <f>IF('Pipeline Data Input'!B14="","",IFERROR(VLOOKUP('Pipeline Data Input'!B14,'Pipeline Data Input'!$A$66:$B$80,2,FALSE()),'Pipeline Data Input'!B14))</f>
        <v>Jubail 1</v>
      </c>
      <c r="G17" s="47">
        <f>IF('Pipeline Data Input'!K14="","",'Pipeline Data Input'!K14)</f>
        <v>46143</v>
      </c>
      <c r="H17" s="48">
        <f>IF('Pipeline Data Input'!I14="",0,'Pipeline Data Input'!I14)</f>
        <v>726000</v>
      </c>
      <c r="I17" s="49">
        <f t="shared" si="1"/>
        <v>484000</v>
      </c>
      <c r="J17" s="50">
        <f>IF('Pipeline Data Input'!F14="",0,'Pipeline Data Input'!F14)</f>
        <v>1000</v>
      </c>
      <c r="K17" s="50">
        <f>IF('Pipeline Data Input'!G14="",0,'Pipeline Data Input'!G14)</f>
        <v>0</v>
      </c>
      <c r="L17" s="49">
        <f t="shared" si="2"/>
        <v>60500</v>
      </c>
      <c r="M17" s="49">
        <f t="shared" si="3"/>
        <v>60500</v>
      </c>
      <c r="N17" s="49">
        <f t="shared" si="4"/>
        <v>60500</v>
      </c>
      <c r="O17" s="49">
        <f t="shared" si="5"/>
        <v>60500</v>
      </c>
      <c r="P17" s="49">
        <f t="shared" si="6"/>
        <v>60500</v>
      </c>
      <c r="Q17" s="49">
        <f t="shared" si="7"/>
        <v>60500</v>
      </c>
      <c r="R17" s="49">
        <f t="shared" si="8"/>
        <v>60500</v>
      </c>
      <c r="S17" s="49">
        <f t="shared" si="9"/>
        <v>60500</v>
      </c>
      <c r="T17" s="51">
        <f t="shared" si="10"/>
        <v>484000</v>
      </c>
      <c r="U17" s="49">
        <f t="shared" si="11"/>
        <v>60500</v>
      </c>
      <c r="V17" s="49">
        <f t="shared" si="12"/>
        <v>60500</v>
      </c>
      <c r="W17" s="49">
        <f t="shared" si="13"/>
        <v>60500</v>
      </c>
      <c r="X17" s="49">
        <f t="shared" si="14"/>
        <v>60500</v>
      </c>
      <c r="Y17" s="49">
        <f t="shared" si="15"/>
        <v>60500</v>
      </c>
      <c r="Z17" s="49">
        <f t="shared" si="16"/>
        <v>60500</v>
      </c>
      <c r="AA17" s="49">
        <f t="shared" si="17"/>
        <v>60500</v>
      </c>
      <c r="AB17" s="49">
        <f t="shared" si="18"/>
        <v>60500</v>
      </c>
      <c r="AC17" s="49">
        <f t="shared" si="19"/>
        <v>60500</v>
      </c>
      <c r="AD17" s="49">
        <f t="shared" si="20"/>
        <v>60500</v>
      </c>
      <c r="AE17" s="49">
        <f t="shared" si="21"/>
        <v>60500</v>
      </c>
      <c r="AF17" s="49">
        <f t="shared" si="22"/>
        <v>60500</v>
      </c>
      <c r="AG17" s="51">
        <f t="shared" si="23"/>
        <v>726000</v>
      </c>
      <c r="AH17" s="52">
        <f t="shared" si="24"/>
        <v>1210000</v>
      </c>
      <c r="AI17" s="52">
        <f t="shared" si="25"/>
        <v>907500</v>
      </c>
      <c r="AJ17" s="53" t="str">
        <f>IF('Pipeline Data Input'!M14="","",'Pipeline Data Input'!M14)</f>
        <v>Opp: LXPantos/WH/JUB1/1000PP | Region: East</v>
      </c>
    </row>
    <row r="18" spans="1:36" ht="15" customHeight="1">
      <c r="A18" s="43">
        <v>13</v>
      </c>
      <c r="B18" s="44" t="str">
        <f>IF('Pipeline Data Input'!D15="","",'Pipeline Data Input'!D15)</f>
        <v>S-Chem</v>
      </c>
      <c r="C18" s="44" t="str">
        <f>IF('Pipeline Data Input'!E15="","",'Pipeline Data Input'!E15)</f>
        <v>Yazan Darwish</v>
      </c>
      <c r="D18" s="45" t="str">
        <f>IF('Pipeline Data Input'!J15="","",'Pipeline Data Input'!J15)</f>
        <v>Shortlisted</v>
      </c>
      <c r="E18" s="46">
        <f t="shared" si="0"/>
        <v>0.75</v>
      </c>
      <c r="F18" s="45" t="str">
        <f>IF('Pipeline Data Input'!B15="","",IFERROR(VLOOKUP('Pipeline Data Input'!B15,'Pipeline Data Input'!$A$66:$B$80,2,FALSE()),'Pipeline Data Input'!B15))</f>
        <v>Jubail 1</v>
      </c>
      <c r="G18" s="47">
        <f>IF('Pipeline Data Input'!K15="","",'Pipeline Data Input'!K15)</f>
        <v>46188</v>
      </c>
      <c r="H18" s="48">
        <f>IF('Pipeline Data Input'!I15="",0,'Pipeline Data Input'!I15)</f>
        <v>138600</v>
      </c>
      <c r="I18" s="49">
        <f t="shared" si="1"/>
        <v>80850</v>
      </c>
      <c r="J18" s="50">
        <f>IF('Pipeline Data Input'!F15="",0,'Pipeline Data Input'!F15)</f>
        <v>730</v>
      </c>
      <c r="K18" s="50">
        <f>IF('Pipeline Data Input'!G15="",0,'Pipeline Data Input'!G15)</f>
        <v>0</v>
      </c>
      <c r="L18" s="49">
        <f t="shared" si="2"/>
        <v>0</v>
      </c>
      <c r="M18" s="49">
        <f t="shared" si="3"/>
        <v>11550</v>
      </c>
      <c r="N18" s="49">
        <f t="shared" si="4"/>
        <v>11550</v>
      </c>
      <c r="O18" s="49">
        <f t="shared" si="5"/>
        <v>11550</v>
      </c>
      <c r="P18" s="49">
        <f t="shared" si="6"/>
        <v>11550</v>
      </c>
      <c r="Q18" s="49">
        <f t="shared" si="7"/>
        <v>11550</v>
      </c>
      <c r="R18" s="49">
        <f t="shared" si="8"/>
        <v>11550</v>
      </c>
      <c r="S18" s="49">
        <f t="shared" si="9"/>
        <v>11550</v>
      </c>
      <c r="T18" s="51">
        <f t="shared" si="10"/>
        <v>80850</v>
      </c>
      <c r="U18" s="49">
        <f t="shared" si="11"/>
        <v>11550</v>
      </c>
      <c r="V18" s="49">
        <f t="shared" si="12"/>
        <v>11550</v>
      </c>
      <c r="W18" s="49">
        <f t="shared" si="13"/>
        <v>11550</v>
      </c>
      <c r="X18" s="49">
        <f t="shared" si="14"/>
        <v>11550</v>
      </c>
      <c r="Y18" s="49">
        <f t="shared" si="15"/>
        <v>11550</v>
      </c>
      <c r="Z18" s="49">
        <f t="shared" si="16"/>
        <v>11550</v>
      </c>
      <c r="AA18" s="49">
        <f t="shared" si="17"/>
        <v>11550</v>
      </c>
      <c r="AB18" s="49">
        <f t="shared" si="18"/>
        <v>11550</v>
      </c>
      <c r="AC18" s="49">
        <f t="shared" si="19"/>
        <v>11550</v>
      </c>
      <c r="AD18" s="49">
        <f t="shared" si="20"/>
        <v>11550</v>
      </c>
      <c r="AE18" s="49">
        <f t="shared" si="21"/>
        <v>11550</v>
      </c>
      <c r="AF18" s="49">
        <f t="shared" si="22"/>
        <v>11550</v>
      </c>
      <c r="AG18" s="51">
        <f t="shared" si="23"/>
        <v>138600</v>
      </c>
      <c r="AH18" s="52">
        <f t="shared" si="24"/>
        <v>219450</v>
      </c>
      <c r="AI18" s="52">
        <f t="shared" si="25"/>
        <v>164587.5</v>
      </c>
      <c r="AJ18" s="53" t="str">
        <f>IF('Pipeline Data Input'!M15="","",'Pipeline Data Input'!M15)</f>
        <v>⚠ Source Exp CY (323,400) ≠ ACV/12 implied (80,850) | Opp: S-Chem/WH/JUB1/730PP | Region: East</v>
      </c>
    </row>
    <row r="19" spans="1:36" ht="15" customHeight="1">
      <c r="A19" s="43">
        <v>14</v>
      </c>
      <c r="B19" s="44" t="str">
        <f>IF('Pipeline Data Input'!D16="","",'Pipeline Data Input'!D16)</f>
        <v>Saudi Pelican Logistics Solutions</v>
      </c>
      <c r="C19" s="44" t="str">
        <f>IF('Pipeline Data Input'!E16="","",'Pipeline Data Input'!E16)</f>
        <v>Yazan Darwish</v>
      </c>
      <c r="D19" s="45" t="str">
        <f>IF('Pipeline Data Input'!J16="","",'Pipeline Data Input'!J16)</f>
        <v>Proposal Sent</v>
      </c>
      <c r="E19" s="46">
        <f t="shared" si="0"/>
        <v>0.6</v>
      </c>
      <c r="F19" s="45" t="str">
        <f>IF('Pipeline Data Input'!B16="","",IFERROR(VLOOKUP('Pipeline Data Input'!B16,'Pipeline Data Input'!$A$66:$B$80,2,FALSE()),'Pipeline Data Input'!B16))</f>
        <v>Jubail 1</v>
      </c>
      <c r="G19" s="47">
        <f>IF('Pipeline Data Input'!K16="","",'Pipeline Data Input'!K16)</f>
        <v>46174</v>
      </c>
      <c r="H19" s="48">
        <f>IF('Pipeline Data Input'!I16="",0,'Pipeline Data Input'!I16)</f>
        <v>297000</v>
      </c>
      <c r="I19" s="49">
        <f t="shared" si="1"/>
        <v>173250</v>
      </c>
      <c r="J19" s="50">
        <f>IF('Pipeline Data Input'!F16="",0,'Pipeline Data Input'!F16)</f>
        <v>500</v>
      </c>
      <c r="K19" s="50">
        <f>IF('Pipeline Data Input'!G16="",0,'Pipeline Data Input'!G16)</f>
        <v>0</v>
      </c>
      <c r="L19" s="49">
        <f t="shared" si="2"/>
        <v>0</v>
      </c>
      <c r="M19" s="49">
        <f t="shared" si="3"/>
        <v>24750</v>
      </c>
      <c r="N19" s="49">
        <f t="shared" si="4"/>
        <v>24750</v>
      </c>
      <c r="O19" s="49">
        <f t="shared" si="5"/>
        <v>24750</v>
      </c>
      <c r="P19" s="49">
        <f t="shared" si="6"/>
        <v>24750</v>
      </c>
      <c r="Q19" s="49">
        <f t="shared" si="7"/>
        <v>24750</v>
      </c>
      <c r="R19" s="49">
        <f t="shared" si="8"/>
        <v>24750</v>
      </c>
      <c r="S19" s="49">
        <f t="shared" si="9"/>
        <v>24750</v>
      </c>
      <c r="T19" s="51">
        <f t="shared" si="10"/>
        <v>173250</v>
      </c>
      <c r="U19" s="49">
        <f t="shared" si="11"/>
        <v>24750</v>
      </c>
      <c r="V19" s="49">
        <f t="shared" si="12"/>
        <v>24750</v>
      </c>
      <c r="W19" s="49">
        <f t="shared" si="13"/>
        <v>24750</v>
      </c>
      <c r="X19" s="49">
        <f t="shared" si="14"/>
        <v>24750</v>
      </c>
      <c r="Y19" s="49">
        <f t="shared" si="15"/>
        <v>24750</v>
      </c>
      <c r="Z19" s="49">
        <f t="shared" si="16"/>
        <v>24750</v>
      </c>
      <c r="AA19" s="49">
        <f t="shared" si="17"/>
        <v>24750</v>
      </c>
      <c r="AB19" s="49">
        <f t="shared" si="18"/>
        <v>24750</v>
      </c>
      <c r="AC19" s="49">
        <f t="shared" si="19"/>
        <v>24750</v>
      </c>
      <c r="AD19" s="49">
        <f t="shared" si="20"/>
        <v>24750</v>
      </c>
      <c r="AE19" s="49">
        <f t="shared" si="21"/>
        <v>24750</v>
      </c>
      <c r="AF19" s="49">
        <f t="shared" si="22"/>
        <v>24750</v>
      </c>
      <c r="AG19" s="51">
        <f t="shared" si="23"/>
        <v>297000</v>
      </c>
      <c r="AH19" s="52">
        <f t="shared" si="24"/>
        <v>470250</v>
      </c>
      <c r="AI19" s="52">
        <f t="shared" si="25"/>
        <v>282150</v>
      </c>
      <c r="AJ19" s="53" t="str">
        <f>IF('Pipeline Data Input'!M16="","",'Pipeline Data Input'!M16)</f>
        <v>⚠ Source Exp CY (154,000) ≠ ACV/12 implied (173,250) | Opp: Saudi Pelican Logistics Solutions/WH/JUB/500PP | Region: East</v>
      </c>
    </row>
    <row r="20" spans="1:36" ht="15" customHeight="1">
      <c r="A20" s="43">
        <v>15</v>
      </c>
      <c r="B20" s="44" t="str">
        <f>IF('Pipeline Data Input'!D17="","",'Pipeline Data Input'!D17)</f>
        <v>Ravago Saudi Arabia</v>
      </c>
      <c r="C20" s="44" t="str">
        <f>IF('Pipeline Data Input'!E17="","",'Pipeline Data Input'!E17)</f>
        <v>Yazan Darwish</v>
      </c>
      <c r="D20" s="45" t="str">
        <f>IF('Pipeline Data Input'!J17="","",'Pipeline Data Input'!J17)</f>
        <v>Proposal Sent</v>
      </c>
      <c r="E20" s="46">
        <f t="shared" si="0"/>
        <v>0.6</v>
      </c>
      <c r="F20" s="45" t="str">
        <f>IF('Pipeline Data Input'!B17="","",IFERROR(VLOOKUP('Pipeline Data Input'!B17,'Pipeline Data Input'!$A$66:$B$80,2,FALSE()),'Pipeline Data Input'!B17))</f>
        <v>Jubail 2</v>
      </c>
      <c r="G20" s="47">
        <f>IF('Pipeline Data Input'!K17="","",'Pipeline Data Input'!K17)</f>
        <v>46266</v>
      </c>
      <c r="H20" s="48">
        <f>IF('Pipeline Data Input'!I17="",0,'Pipeline Data Input'!I17)</f>
        <v>550000</v>
      </c>
      <c r="I20" s="49">
        <f t="shared" si="1"/>
        <v>183333.33333333334</v>
      </c>
      <c r="J20" s="50">
        <f>IF('Pipeline Data Input'!F17="",0,'Pipeline Data Input'!F17)</f>
        <v>1200</v>
      </c>
      <c r="K20" s="50">
        <f>IF('Pipeline Data Input'!G17="",0,'Pipeline Data Input'!G17)</f>
        <v>0</v>
      </c>
      <c r="L20" s="49">
        <f t="shared" si="2"/>
        <v>0</v>
      </c>
      <c r="M20" s="49">
        <f t="shared" si="3"/>
        <v>0</v>
      </c>
      <c r="N20" s="49">
        <f t="shared" si="4"/>
        <v>0</v>
      </c>
      <c r="O20" s="49">
        <f t="shared" si="5"/>
        <v>0</v>
      </c>
      <c r="P20" s="49">
        <f t="shared" si="6"/>
        <v>45833.333333333336</v>
      </c>
      <c r="Q20" s="49">
        <f t="shared" si="7"/>
        <v>45833.333333333336</v>
      </c>
      <c r="R20" s="49">
        <f t="shared" si="8"/>
        <v>45833.333333333336</v>
      </c>
      <c r="S20" s="49">
        <f t="shared" si="9"/>
        <v>45833.333333333336</v>
      </c>
      <c r="T20" s="51">
        <f t="shared" si="10"/>
        <v>183333.33333333334</v>
      </c>
      <c r="U20" s="49">
        <f t="shared" si="11"/>
        <v>45833.333333333336</v>
      </c>
      <c r="V20" s="49">
        <f t="shared" si="12"/>
        <v>45833.333333333336</v>
      </c>
      <c r="W20" s="49">
        <f t="shared" si="13"/>
        <v>45833.333333333336</v>
      </c>
      <c r="X20" s="49">
        <f t="shared" si="14"/>
        <v>45833.333333333336</v>
      </c>
      <c r="Y20" s="49">
        <f t="shared" si="15"/>
        <v>45833.333333333336</v>
      </c>
      <c r="Z20" s="49">
        <f t="shared" si="16"/>
        <v>45833.333333333336</v>
      </c>
      <c r="AA20" s="49">
        <f t="shared" si="17"/>
        <v>45833.333333333336</v>
      </c>
      <c r="AB20" s="49">
        <f t="shared" si="18"/>
        <v>45833.333333333336</v>
      </c>
      <c r="AC20" s="49">
        <f t="shared" si="19"/>
        <v>45833.333333333336</v>
      </c>
      <c r="AD20" s="49">
        <f t="shared" si="20"/>
        <v>45833.333333333336</v>
      </c>
      <c r="AE20" s="49">
        <f t="shared" si="21"/>
        <v>45833.333333333336</v>
      </c>
      <c r="AF20" s="49">
        <f t="shared" si="22"/>
        <v>45833.333333333336</v>
      </c>
      <c r="AG20" s="51">
        <f t="shared" si="23"/>
        <v>549999.99999999988</v>
      </c>
      <c r="AH20" s="52">
        <f t="shared" si="24"/>
        <v>733333.33333333326</v>
      </c>
      <c r="AI20" s="52">
        <f t="shared" si="25"/>
        <v>439999.99999999994</v>
      </c>
      <c r="AJ20" s="53" t="str">
        <f>IF('Pipeline Data Input'!M17="","",'Pipeline Data Input'!M17)</f>
        <v>Opp: Ravago/WH/JUB/1200PP | Region: East</v>
      </c>
    </row>
    <row r="21" spans="1:36" ht="15" customHeight="1">
      <c r="A21" s="43">
        <v>16</v>
      </c>
      <c r="B21" s="44" t="str">
        <f>IF('Pipeline Data Input'!D18="","",'Pipeline Data Input'!D18)</f>
        <v>Tahakom</v>
      </c>
      <c r="C21" s="44" t="str">
        <f>IF('Pipeline Data Input'!E18="","",'Pipeline Data Input'!E18)</f>
        <v>Yazan Darwish</v>
      </c>
      <c r="D21" s="45" t="str">
        <f>IF('Pipeline Data Input'!J18="","",'Pipeline Data Input'!J18)</f>
        <v>Shortlisted</v>
      </c>
      <c r="E21" s="46">
        <f t="shared" si="0"/>
        <v>0.75</v>
      </c>
      <c r="F21" s="45" t="str">
        <f>IF('Pipeline Data Input'!B18="","",IFERROR(VLOOKUP('Pipeline Data Input'!B18,'Pipeline Data Input'!$A$66:$B$80,2,FALSE()),'Pipeline Data Input'!B18))</f>
        <v>Jubail 2</v>
      </c>
      <c r="G21" s="47">
        <f>IF('Pipeline Data Input'!K18="","",'Pipeline Data Input'!K18)</f>
        <v>46204</v>
      </c>
      <c r="H21" s="48">
        <f>IF('Pipeline Data Input'!I18="",0,'Pipeline Data Input'!I18)</f>
        <v>850000</v>
      </c>
      <c r="I21" s="49">
        <f t="shared" si="1"/>
        <v>424999.99999999994</v>
      </c>
      <c r="J21" s="50">
        <f>IF('Pipeline Data Input'!F18="",0,'Pipeline Data Input'!F18)</f>
        <v>0</v>
      </c>
      <c r="K21" s="50">
        <f>IF('Pipeline Data Input'!G18="",0,'Pipeline Data Input'!G18)</f>
        <v>15000</v>
      </c>
      <c r="L21" s="49">
        <f t="shared" si="2"/>
        <v>0</v>
      </c>
      <c r="M21" s="49">
        <f t="shared" si="3"/>
        <v>0</v>
      </c>
      <c r="N21" s="49">
        <f t="shared" si="4"/>
        <v>70833.333333333328</v>
      </c>
      <c r="O21" s="49">
        <f t="shared" si="5"/>
        <v>70833.333333333328</v>
      </c>
      <c r="P21" s="49">
        <f t="shared" si="6"/>
        <v>70833.333333333328</v>
      </c>
      <c r="Q21" s="49">
        <f t="shared" si="7"/>
        <v>70833.333333333328</v>
      </c>
      <c r="R21" s="49">
        <f t="shared" si="8"/>
        <v>70833.333333333328</v>
      </c>
      <c r="S21" s="49">
        <f t="shared" si="9"/>
        <v>70833.333333333328</v>
      </c>
      <c r="T21" s="51">
        <f t="shared" si="10"/>
        <v>424999.99999999994</v>
      </c>
      <c r="U21" s="49">
        <f t="shared" si="11"/>
        <v>70833.333333333328</v>
      </c>
      <c r="V21" s="49">
        <f t="shared" si="12"/>
        <v>70833.333333333328</v>
      </c>
      <c r="W21" s="49">
        <f t="shared" si="13"/>
        <v>70833.333333333328</v>
      </c>
      <c r="X21" s="49">
        <f t="shared" si="14"/>
        <v>70833.333333333328</v>
      </c>
      <c r="Y21" s="49">
        <f t="shared" si="15"/>
        <v>70833.333333333328</v>
      </c>
      <c r="Z21" s="49">
        <f t="shared" si="16"/>
        <v>70833.333333333328</v>
      </c>
      <c r="AA21" s="49">
        <f t="shared" si="17"/>
        <v>70833.333333333328</v>
      </c>
      <c r="AB21" s="49">
        <f t="shared" si="18"/>
        <v>70833.333333333328</v>
      </c>
      <c r="AC21" s="49">
        <f t="shared" si="19"/>
        <v>70833.333333333328</v>
      </c>
      <c r="AD21" s="49">
        <f t="shared" si="20"/>
        <v>70833.333333333328</v>
      </c>
      <c r="AE21" s="49">
        <f t="shared" si="21"/>
        <v>70833.333333333328</v>
      </c>
      <c r="AF21" s="49">
        <f t="shared" si="22"/>
        <v>70833.333333333328</v>
      </c>
      <c r="AG21" s="51">
        <f t="shared" si="23"/>
        <v>850000.00000000012</v>
      </c>
      <c r="AH21" s="52">
        <f t="shared" si="24"/>
        <v>1275000</v>
      </c>
      <c r="AI21" s="52">
        <f t="shared" si="25"/>
        <v>956250</v>
      </c>
      <c r="AJ21" s="53" t="str">
        <f>IF('Pipeline Data Input'!M18="","",'Pipeline Data Input'!M18)</f>
        <v>Opp: Tahakom/WH/JUB/15,000SQM Yard | Region: West</v>
      </c>
    </row>
    <row r="22" spans="1:36" ht="15" customHeight="1">
      <c r="A22" s="43">
        <v>17</v>
      </c>
      <c r="B22" s="44" t="str">
        <f>IF('Pipeline Data Input'!D19="","",'Pipeline Data Input'!D19)</f>
        <v>Oriend Provisions</v>
      </c>
      <c r="C22" s="44" t="str">
        <f>IF('Pipeline Data Input'!E19="","",'Pipeline Data Input'!E19)</f>
        <v>Simon Reah</v>
      </c>
      <c r="D22" s="45" t="str">
        <f>IF('Pipeline Data Input'!J19="","",'Pipeline Data Input'!J19)</f>
        <v>Proposal Sent</v>
      </c>
      <c r="E22" s="46">
        <f t="shared" si="0"/>
        <v>0.6</v>
      </c>
      <c r="F22" s="45" t="str">
        <f>IF('Pipeline Data Input'!B19="","",IFERROR(VLOOKUP('Pipeline Data Input'!B19,'Pipeline Data Input'!$A$66:$B$80,2,FALSE()),'Pipeline Data Input'!B19))</f>
        <v>Jeddah Modon 3A</v>
      </c>
      <c r="G22" s="47">
        <f>IF('Pipeline Data Input'!K19="","",'Pipeline Data Input'!K19)</f>
        <v>46235</v>
      </c>
      <c r="H22" s="48">
        <f>IF('Pipeline Data Input'!I19="",0,'Pipeline Data Input'!I19)</f>
        <v>1620000</v>
      </c>
      <c r="I22" s="49">
        <f t="shared" si="1"/>
        <v>675000</v>
      </c>
      <c r="J22" s="50">
        <f>IF('Pipeline Data Input'!F19="",0,'Pipeline Data Input'!F19)</f>
        <v>3000</v>
      </c>
      <c r="K22" s="50">
        <f>IF('Pipeline Data Input'!G19="",0,'Pipeline Data Input'!G19)</f>
        <v>0</v>
      </c>
      <c r="L22" s="49">
        <f t="shared" si="2"/>
        <v>0</v>
      </c>
      <c r="M22" s="49">
        <f t="shared" si="3"/>
        <v>0</v>
      </c>
      <c r="N22" s="49">
        <f t="shared" si="4"/>
        <v>0</v>
      </c>
      <c r="O22" s="49">
        <f t="shared" si="5"/>
        <v>135000</v>
      </c>
      <c r="P22" s="49">
        <f t="shared" si="6"/>
        <v>135000</v>
      </c>
      <c r="Q22" s="49">
        <f t="shared" si="7"/>
        <v>135000</v>
      </c>
      <c r="R22" s="49">
        <f t="shared" si="8"/>
        <v>135000</v>
      </c>
      <c r="S22" s="49">
        <f t="shared" si="9"/>
        <v>135000</v>
      </c>
      <c r="T22" s="51">
        <f t="shared" si="10"/>
        <v>675000</v>
      </c>
      <c r="U22" s="49">
        <f t="shared" si="11"/>
        <v>135000</v>
      </c>
      <c r="V22" s="49">
        <f t="shared" si="12"/>
        <v>135000</v>
      </c>
      <c r="W22" s="49">
        <f t="shared" si="13"/>
        <v>135000</v>
      </c>
      <c r="X22" s="49">
        <f t="shared" si="14"/>
        <v>135000</v>
      </c>
      <c r="Y22" s="49">
        <f t="shared" si="15"/>
        <v>135000</v>
      </c>
      <c r="Z22" s="49">
        <f t="shared" si="16"/>
        <v>135000</v>
      </c>
      <c r="AA22" s="49">
        <f t="shared" si="17"/>
        <v>135000</v>
      </c>
      <c r="AB22" s="49">
        <f t="shared" si="18"/>
        <v>135000</v>
      </c>
      <c r="AC22" s="49">
        <f t="shared" si="19"/>
        <v>135000</v>
      </c>
      <c r="AD22" s="49">
        <f t="shared" si="20"/>
        <v>135000</v>
      </c>
      <c r="AE22" s="49">
        <f t="shared" si="21"/>
        <v>135000</v>
      </c>
      <c r="AF22" s="49">
        <f t="shared" si="22"/>
        <v>135000</v>
      </c>
      <c r="AG22" s="51">
        <f t="shared" si="23"/>
        <v>1620000</v>
      </c>
      <c r="AH22" s="52">
        <f t="shared" si="24"/>
        <v>2295000</v>
      </c>
      <c r="AI22" s="52">
        <f t="shared" si="25"/>
        <v>1377000</v>
      </c>
      <c r="AJ22" s="53" t="str">
        <f>IF('Pipeline Data Input'!M19="","",'Pipeline Data Input'!M19)</f>
        <v>Opp: Orient Provisions/WH/JED3A/3000PP | Region: West</v>
      </c>
    </row>
    <row r="23" spans="1:36" ht="15" customHeight="1">
      <c r="A23" s="43">
        <v>18</v>
      </c>
      <c r="B23" s="44" t="str">
        <f>IF('Pipeline Data Input'!D20="","",'Pipeline Data Input'!D20)</f>
        <v>Al Nahdi</v>
      </c>
      <c r="C23" s="44" t="str">
        <f>IF('Pipeline Data Input'!E20="","",'Pipeline Data Input'!E20)</f>
        <v>Simon Reah</v>
      </c>
      <c r="D23" s="45" t="str">
        <f>IF('Pipeline Data Input'!J20="","",'Pipeline Data Input'!J20)</f>
        <v>Contract Negotiation</v>
      </c>
      <c r="E23" s="46">
        <f t="shared" si="0"/>
        <v>0.9</v>
      </c>
      <c r="F23" s="45" t="str">
        <f>IF('Pipeline Data Input'!B20="","",IFERROR(VLOOKUP('Pipeline Data Input'!B20,'Pipeline Data Input'!$A$66:$B$80,2,FALSE()),'Pipeline Data Input'!B20))</f>
        <v>Jeddah Modon 3A</v>
      </c>
      <c r="G23" s="47">
        <f>IF('Pipeline Data Input'!K20="","",'Pipeline Data Input'!K20)</f>
        <v>46143</v>
      </c>
      <c r="H23" s="48">
        <f>IF('Pipeline Data Input'!I20="",0,'Pipeline Data Input'!I20)</f>
        <v>1080000</v>
      </c>
      <c r="I23" s="49">
        <f t="shared" si="1"/>
        <v>720000</v>
      </c>
      <c r="J23" s="50">
        <f>IF('Pipeline Data Input'!F20="",0,'Pipeline Data Input'!F20)</f>
        <v>3000</v>
      </c>
      <c r="K23" s="50">
        <f>IF('Pipeline Data Input'!G20="",0,'Pipeline Data Input'!G20)</f>
        <v>0</v>
      </c>
      <c r="L23" s="49">
        <f t="shared" si="2"/>
        <v>90000</v>
      </c>
      <c r="M23" s="49">
        <f t="shared" si="3"/>
        <v>90000</v>
      </c>
      <c r="N23" s="49">
        <f t="shared" si="4"/>
        <v>90000</v>
      </c>
      <c r="O23" s="49">
        <f t="shared" si="5"/>
        <v>90000</v>
      </c>
      <c r="P23" s="49">
        <f t="shared" si="6"/>
        <v>90000</v>
      </c>
      <c r="Q23" s="49">
        <f t="shared" si="7"/>
        <v>90000</v>
      </c>
      <c r="R23" s="49">
        <f t="shared" si="8"/>
        <v>90000</v>
      </c>
      <c r="S23" s="49">
        <f t="shared" si="9"/>
        <v>90000</v>
      </c>
      <c r="T23" s="51">
        <f t="shared" si="10"/>
        <v>720000</v>
      </c>
      <c r="U23" s="49">
        <f t="shared" si="11"/>
        <v>90000</v>
      </c>
      <c r="V23" s="49">
        <f t="shared" si="12"/>
        <v>90000</v>
      </c>
      <c r="W23" s="49">
        <f t="shared" si="13"/>
        <v>90000</v>
      </c>
      <c r="X23" s="49">
        <f t="shared" si="14"/>
        <v>90000</v>
      </c>
      <c r="Y23" s="49">
        <f t="shared" si="15"/>
        <v>90000</v>
      </c>
      <c r="Z23" s="49">
        <f t="shared" si="16"/>
        <v>90000</v>
      </c>
      <c r="AA23" s="49">
        <f t="shared" si="17"/>
        <v>90000</v>
      </c>
      <c r="AB23" s="49">
        <f t="shared" si="18"/>
        <v>90000</v>
      </c>
      <c r="AC23" s="49">
        <f t="shared" si="19"/>
        <v>90000</v>
      </c>
      <c r="AD23" s="49">
        <f t="shared" si="20"/>
        <v>90000</v>
      </c>
      <c r="AE23" s="49">
        <f t="shared" si="21"/>
        <v>90000</v>
      </c>
      <c r="AF23" s="49">
        <f t="shared" si="22"/>
        <v>90000</v>
      </c>
      <c r="AG23" s="51">
        <f t="shared" si="23"/>
        <v>1080000</v>
      </c>
      <c r="AH23" s="52">
        <f t="shared" si="24"/>
        <v>1800000</v>
      </c>
      <c r="AI23" s="52">
        <f t="shared" si="25"/>
        <v>1620000</v>
      </c>
      <c r="AJ23" s="53" t="str">
        <f>IF('Pipeline Data Input'!M20="","",'Pipeline Data Input'!M20)</f>
        <v>⚠ Source Exp CY (1,080,000) ≠ ACV/12 implied (720,000) | Opp: AL Nahdi/WH/JED3A/3000PP | Region: West</v>
      </c>
    </row>
    <row r="24" spans="1:36" ht="15" customHeight="1">
      <c r="A24" s="43">
        <v>19</v>
      </c>
      <c r="B24" s="44" t="str">
        <f>IF('Pipeline Data Input'!D21="","",'Pipeline Data Input'!D21)</f>
        <v>JamJoom</v>
      </c>
      <c r="C24" s="44" t="str">
        <f>IF('Pipeline Data Input'!E21="","",'Pipeline Data Input'!E21)</f>
        <v>Simon Reah</v>
      </c>
      <c r="D24" s="45" t="str">
        <f>IF('Pipeline Data Input'!J21="","",'Pipeline Data Input'!J21)</f>
        <v>Shortlisted</v>
      </c>
      <c r="E24" s="46">
        <f t="shared" si="0"/>
        <v>0.75</v>
      </c>
      <c r="F24" s="45" t="str">
        <f>IF('Pipeline Data Input'!B21="","",IFERROR(VLOOKUP('Pipeline Data Input'!B21,'Pipeline Data Input'!$A$66:$B$80,2,FALSE()),'Pipeline Data Input'!B21))</f>
        <v>Jeddah Modon 3A</v>
      </c>
      <c r="G24" s="47">
        <f>IF('Pipeline Data Input'!K21="","",'Pipeline Data Input'!K21)</f>
        <v>46174</v>
      </c>
      <c r="H24" s="48">
        <f>IF('Pipeline Data Input'!I21="",0,'Pipeline Data Input'!I21)</f>
        <v>891000</v>
      </c>
      <c r="I24" s="49">
        <f t="shared" si="1"/>
        <v>519750</v>
      </c>
      <c r="J24" s="50">
        <f>IF('Pipeline Data Input'!F21="",0,'Pipeline Data Input'!F21)</f>
        <v>1500</v>
      </c>
      <c r="K24" s="50">
        <f>IF('Pipeline Data Input'!G21="",0,'Pipeline Data Input'!G21)</f>
        <v>0</v>
      </c>
      <c r="L24" s="49">
        <f t="shared" si="2"/>
        <v>0</v>
      </c>
      <c r="M24" s="49">
        <f t="shared" si="3"/>
        <v>74250</v>
      </c>
      <c r="N24" s="49">
        <f t="shared" si="4"/>
        <v>74250</v>
      </c>
      <c r="O24" s="49">
        <f t="shared" si="5"/>
        <v>74250</v>
      </c>
      <c r="P24" s="49">
        <f t="shared" si="6"/>
        <v>74250</v>
      </c>
      <c r="Q24" s="49">
        <f t="shared" si="7"/>
        <v>74250</v>
      </c>
      <c r="R24" s="49">
        <f t="shared" si="8"/>
        <v>74250</v>
      </c>
      <c r="S24" s="49">
        <f t="shared" si="9"/>
        <v>74250</v>
      </c>
      <c r="T24" s="51">
        <f t="shared" si="10"/>
        <v>519750</v>
      </c>
      <c r="U24" s="49">
        <f t="shared" si="11"/>
        <v>74250</v>
      </c>
      <c r="V24" s="49">
        <f t="shared" si="12"/>
        <v>74250</v>
      </c>
      <c r="W24" s="49">
        <f t="shared" si="13"/>
        <v>74250</v>
      </c>
      <c r="X24" s="49">
        <f t="shared" si="14"/>
        <v>74250</v>
      </c>
      <c r="Y24" s="49">
        <f t="shared" si="15"/>
        <v>74250</v>
      </c>
      <c r="Z24" s="49">
        <f t="shared" si="16"/>
        <v>74250</v>
      </c>
      <c r="AA24" s="49">
        <f t="shared" si="17"/>
        <v>74250</v>
      </c>
      <c r="AB24" s="49">
        <f t="shared" si="18"/>
        <v>74250</v>
      </c>
      <c r="AC24" s="49">
        <f t="shared" si="19"/>
        <v>74250</v>
      </c>
      <c r="AD24" s="49">
        <f t="shared" si="20"/>
        <v>74250</v>
      </c>
      <c r="AE24" s="49">
        <f t="shared" si="21"/>
        <v>74250</v>
      </c>
      <c r="AF24" s="49">
        <f t="shared" si="22"/>
        <v>74250</v>
      </c>
      <c r="AG24" s="51">
        <f t="shared" si="23"/>
        <v>891000</v>
      </c>
      <c r="AH24" s="52">
        <f t="shared" si="24"/>
        <v>1410750</v>
      </c>
      <c r="AI24" s="52">
        <f t="shared" si="25"/>
        <v>1058062.5</v>
      </c>
      <c r="AJ24" s="53" t="str">
        <f>IF('Pipeline Data Input'!M21="","",'Pipeline Data Input'!M21)</f>
        <v>Opp: JamJoom/WH/JED3A/2000PP | Region: West</v>
      </c>
    </row>
    <row r="25" spans="1:36" ht="15" customHeight="1">
      <c r="A25" s="43">
        <v>20</v>
      </c>
      <c r="B25" s="44" t="str">
        <f>IF('Pipeline Data Input'!D22="","",'Pipeline Data Input'!D22)</f>
        <v>Med City Pharma</v>
      </c>
      <c r="C25" s="44" t="str">
        <f>IF('Pipeline Data Input'!E22="","",'Pipeline Data Input'!E22)</f>
        <v>Amin AlHalabi</v>
      </c>
      <c r="D25" s="45" t="str">
        <f>IF('Pipeline Data Input'!J22="","",'Pipeline Data Input'!J22)</f>
        <v>Proposal Sent</v>
      </c>
      <c r="E25" s="46">
        <f t="shared" si="0"/>
        <v>0.6</v>
      </c>
      <c r="F25" s="45" t="str">
        <f>IF('Pipeline Data Input'!B22="","",IFERROR(VLOOKUP('Pipeline Data Input'!B22,'Pipeline Data Input'!$A$66:$B$80,2,FALSE()),'Pipeline Data Input'!B22))</f>
        <v>Jeddah Modon 3A</v>
      </c>
      <c r="G25" s="47">
        <f>IF('Pipeline Data Input'!K22="","",'Pipeline Data Input'!K22)</f>
        <v>46174</v>
      </c>
      <c r="H25" s="48">
        <f>IF('Pipeline Data Input'!I22="",0,'Pipeline Data Input'!I22)</f>
        <v>595200</v>
      </c>
      <c r="I25" s="49">
        <f t="shared" si="1"/>
        <v>347200</v>
      </c>
      <c r="J25" s="50">
        <f>IF('Pipeline Data Input'!F22="",0,'Pipeline Data Input'!F22)</f>
        <v>800</v>
      </c>
      <c r="K25" s="50">
        <f>IF('Pipeline Data Input'!G22="",0,'Pipeline Data Input'!G22)</f>
        <v>0</v>
      </c>
      <c r="L25" s="49">
        <f t="shared" si="2"/>
        <v>0</v>
      </c>
      <c r="M25" s="49">
        <f t="shared" si="3"/>
        <v>49600</v>
      </c>
      <c r="N25" s="49">
        <f t="shared" si="4"/>
        <v>49600</v>
      </c>
      <c r="O25" s="49">
        <f t="shared" si="5"/>
        <v>49600</v>
      </c>
      <c r="P25" s="49">
        <f t="shared" si="6"/>
        <v>49600</v>
      </c>
      <c r="Q25" s="49">
        <f t="shared" si="7"/>
        <v>49600</v>
      </c>
      <c r="R25" s="49">
        <f t="shared" si="8"/>
        <v>49600</v>
      </c>
      <c r="S25" s="49">
        <f t="shared" si="9"/>
        <v>49600</v>
      </c>
      <c r="T25" s="51">
        <f t="shared" si="10"/>
        <v>347200</v>
      </c>
      <c r="U25" s="49">
        <f t="shared" si="11"/>
        <v>49600</v>
      </c>
      <c r="V25" s="49">
        <f t="shared" si="12"/>
        <v>49600</v>
      </c>
      <c r="W25" s="49">
        <f t="shared" si="13"/>
        <v>49600</v>
      </c>
      <c r="X25" s="49">
        <f t="shared" si="14"/>
        <v>49600</v>
      </c>
      <c r="Y25" s="49">
        <f t="shared" si="15"/>
        <v>49600</v>
      </c>
      <c r="Z25" s="49">
        <f t="shared" si="16"/>
        <v>49600</v>
      </c>
      <c r="AA25" s="49">
        <f t="shared" si="17"/>
        <v>49600</v>
      </c>
      <c r="AB25" s="49">
        <f t="shared" si="18"/>
        <v>49600</v>
      </c>
      <c r="AC25" s="49">
        <f t="shared" si="19"/>
        <v>49600</v>
      </c>
      <c r="AD25" s="49">
        <f t="shared" si="20"/>
        <v>49600</v>
      </c>
      <c r="AE25" s="49">
        <f t="shared" si="21"/>
        <v>49600</v>
      </c>
      <c r="AF25" s="49">
        <f t="shared" si="22"/>
        <v>49600</v>
      </c>
      <c r="AG25" s="51">
        <f t="shared" si="23"/>
        <v>595200</v>
      </c>
      <c r="AH25" s="52">
        <f t="shared" si="24"/>
        <v>942400</v>
      </c>
      <c r="AI25" s="52">
        <f t="shared" si="25"/>
        <v>565440</v>
      </c>
      <c r="AJ25" s="53" t="str">
        <f>IF('Pipeline Data Input'!M22="","",'Pipeline Data Input'!M22)</f>
        <v>Opp: MED CITY PHARMA/WH/JED/800 PP | Region: West</v>
      </c>
    </row>
    <row r="26" spans="1:36" ht="15" customHeight="1">
      <c r="A26" s="43">
        <v>21</v>
      </c>
      <c r="B26" s="44" t="str">
        <f>IF('Pipeline Data Input'!D23="","",'Pipeline Data Input'!D23)</f>
        <v>Diwan Al Qahwa Trading Company</v>
      </c>
      <c r="C26" s="44" t="str">
        <f>IF('Pipeline Data Input'!E23="","",'Pipeline Data Input'!E23)</f>
        <v>Yazan Darwish</v>
      </c>
      <c r="D26" s="45" t="str">
        <f>IF('Pipeline Data Input'!J23="","",'Pipeline Data Input'!J23)</f>
        <v>Proposal Sent</v>
      </c>
      <c r="E26" s="46">
        <f t="shared" si="0"/>
        <v>0.6</v>
      </c>
      <c r="F26" s="45" t="str">
        <f>IF('Pipeline Data Input'!B23="","",IFERROR(VLOOKUP('Pipeline Data Input'!B23,'Pipeline Data Input'!$A$66:$B$80,2,FALSE()),'Pipeline Data Input'!B23))</f>
        <v>Jeddah Modon 3A</v>
      </c>
      <c r="G26" s="47">
        <f>IF('Pipeline Data Input'!K23="","",'Pipeline Data Input'!K23)</f>
        <v>46204</v>
      </c>
      <c r="H26" s="48">
        <f>IF('Pipeline Data Input'!I23="",0,'Pipeline Data Input'!I23)</f>
        <v>396000</v>
      </c>
      <c r="I26" s="49">
        <f t="shared" si="1"/>
        <v>198000</v>
      </c>
      <c r="J26" s="50">
        <f>IF('Pipeline Data Input'!F23="",0,'Pipeline Data Input'!F23)</f>
        <v>500</v>
      </c>
      <c r="K26" s="50">
        <f>IF('Pipeline Data Input'!G23="",0,'Pipeline Data Input'!G23)</f>
        <v>0</v>
      </c>
      <c r="L26" s="49">
        <f t="shared" si="2"/>
        <v>0</v>
      </c>
      <c r="M26" s="49">
        <f t="shared" si="3"/>
        <v>0</v>
      </c>
      <c r="N26" s="49">
        <f t="shared" si="4"/>
        <v>33000</v>
      </c>
      <c r="O26" s="49">
        <f t="shared" si="5"/>
        <v>33000</v>
      </c>
      <c r="P26" s="49">
        <f t="shared" si="6"/>
        <v>33000</v>
      </c>
      <c r="Q26" s="49">
        <f t="shared" si="7"/>
        <v>33000</v>
      </c>
      <c r="R26" s="49">
        <f t="shared" si="8"/>
        <v>33000</v>
      </c>
      <c r="S26" s="49">
        <f t="shared" si="9"/>
        <v>33000</v>
      </c>
      <c r="T26" s="51">
        <f t="shared" si="10"/>
        <v>198000</v>
      </c>
      <c r="U26" s="49">
        <f t="shared" si="11"/>
        <v>33000</v>
      </c>
      <c r="V26" s="49">
        <f t="shared" si="12"/>
        <v>33000</v>
      </c>
      <c r="W26" s="49">
        <f t="shared" si="13"/>
        <v>33000</v>
      </c>
      <c r="X26" s="49">
        <f t="shared" si="14"/>
        <v>33000</v>
      </c>
      <c r="Y26" s="49">
        <f t="shared" si="15"/>
        <v>33000</v>
      </c>
      <c r="Z26" s="49">
        <f t="shared" si="16"/>
        <v>33000</v>
      </c>
      <c r="AA26" s="49">
        <f t="shared" si="17"/>
        <v>33000</v>
      </c>
      <c r="AB26" s="49">
        <f t="shared" si="18"/>
        <v>33000</v>
      </c>
      <c r="AC26" s="49">
        <f t="shared" si="19"/>
        <v>33000</v>
      </c>
      <c r="AD26" s="49">
        <f t="shared" si="20"/>
        <v>33000</v>
      </c>
      <c r="AE26" s="49">
        <f t="shared" si="21"/>
        <v>33000</v>
      </c>
      <c r="AF26" s="49">
        <f t="shared" si="22"/>
        <v>33000</v>
      </c>
      <c r="AG26" s="51">
        <f t="shared" si="23"/>
        <v>396000</v>
      </c>
      <c r="AH26" s="52">
        <f t="shared" si="24"/>
        <v>594000</v>
      </c>
      <c r="AI26" s="52">
        <f t="shared" si="25"/>
        <v>356400</v>
      </c>
      <c r="AJ26" s="53" t="str">
        <f>IF('Pipeline Data Input'!M23="","",'Pipeline Data Input'!M23)</f>
        <v>Opp: Diwan/WH/JED3A/500PP | Region: West</v>
      </c>
    </row>
    <row r="27" spans="1:36" ht="15" customHeight="1">
      <c r="A27" s="43">
        <v>22</v>
      </c>
      <c r="B27" s="44" t="str">
        <f>IF('Pipeline Data Input'!D24="","",'Pipeline Data Input'!D24)</f>
        <v>Tejoury</v>
      </c>
      <c r="C27" s="44" t="str">
        <f>IF('Pipeline Data Input'!E24="","",'Pipeline Data Input'!E24)</f>
        <v>Hano Oberholzer</v>
      </c>
      <c r="D27" s="45" t="str">
        <f>IF('Pipeline Data Input'!J24="","",'Pipeline Data Input'!J24)</f>
        <v>Proposal Sent</v>
      </c>
      <c r="E27" s="46">
        <f t="shared" si="0"/>
        <v>0.6</v>
      </c>
      <c r="F27" s="45" t="str">
        <f>IF('Pipeline Data Input'!B24="","",IFERROR(VLOOKUP('Pipeline Data Input'!B24,'Pipeline Data Input'!$A$66:$B$80,2,FALSE()),'Pipeline Data Input'!B24))</f>
        <v>Jeddah Modon 3A</v>
      </c>
      <c r="G27" s="47">
        <f>IF('Pipeline Data Input'!K24="","",'Pipeline Data Input'!K24)</f>
        <v>46204</v>
      </c>
      <c r="H27" s="48">
        <f>IF('Pipeline Data Input'!I24="",0,'Pipeline Data Input'!I24)</f>
        <v>4400000</v>
      </c>
      <c r="I27" s="49">
        <f t="shared" si="1"/>
        <v>2200000</v>
      </c>
      <c r="J27" s="50">
        <f>IF('Pipeline Data Input'!F24="",0,'Pipeline Data Input'!F24)</f>
        <v>0</v>
      </c>
      <c r="K27" s="50">
        <f>IF('Pipeline Data Input'!G24="",0,'Pipeline Data Input'!G24)</f>
        <v>4495</v>
      </c>
      <c r="L27" s="49">
        <f t="shared" si="2"/>
        <v>0</v>
      </c>
      <c r="M27" s="49">
        <f t="shared" si="3"/>
        <v>0</v>
      </c>
      <c r="N27" s="49">
        <f t="shared" si="4"/>
        <v>366666.66666666669</v>
      </c>
      <c r="O27" s="49">
        <f t="shared" si="5"/>
        <v>366666.66666666669</v>
      </c>
      <c r="P27" s="49">
        <f t="shared" si="6"/>
        <v>366666.66666666669</v>
      </c>
      <c r="Q27" s="49">
        <f t="shared" si="7"/>
        <v>366666.66666666669</v>
      </c>
      <c r="R27" s="49">
        <f t="shared" si="8"/>
        <v>366666.66666666669</v>
      </c>
      <c r="S27" s="49">
        <f t="shared" si="9"/>
        <v>366666.66666666669</v>
      </c>
      <c r="T27" s="51">
        <f t="shared" si="10"/>
        <v>2200000</v>
      </c>
      <c r="U27" s="49">
        <f t="shared" si="11"/>
        <v>366666.66666666669</v>
      </c>
      <c r="V27" s="49">
        <f t="shared" si="12"/>
        <v>366666.66666666669</v>
      </c>
      <c r="W27" s="49">
        <f t="shared" si="13"/>
        <v>366666.66666666669</v>
      </c>
      <c r="X27" s="49">
        <f t="shared" si="14"/>
        <v>366666.66666666669</v>
      </c>
      <c r="Y27" s="49">
        <f t="shared" si="15"/>
        <v>366666.66666666669</v>
      </c>
      <c r="Z27" s="49">
        <f t="shared" si="16"/>
        <v>366666.66666666669</v>
      </c>
      <c r="AA27" s="49">
        <f t="shared" si="17"/>
        <v>366666.66666666669</v>
      </c>
      <c r="AB27" s="49">
        <f t="shared" si="18"/>
        <v>366666.66666666669</v>
      </c>
      <c r="AC27" s="49">
        <f t="shared" si="19"/>
        <v>366666.66666666669</v>
      </c>
      <c r="AD27" s="49">
        <f t="shared" si="20"/>
        <v>366666.66666666669</v>
      </c>
      <c r="AE27" s="49">
        <f t="shared" si="21"/>
        <v>366666.66666666669</v>
      </c>
      <c r="AF27" s="49">
        <f t="shared" si="22"/>
        <v>366666.66666666669</v>
      </c>
      <c r="AG27" s="51">
        <f t="shared" si="23"/>
        <v>4399999.9999999991</v>
      </c>
      <c r="AH27" s="52">
        <f t="shared" si="24"/>
        <v>6599999.9999999991</v>
      </c>
      <c r="AI27" s="52">
        <f t="shared" si="25"/>
        <v>3959999.9999999991</v>
      </c>
      <c r="AJ27" s="53" t="str">
        <f>IF('Pipeline Data Input'!M24="","",'Pipeline Data Input'!M24)</f>
        <v>⚠ Source Exp CY (660,000) ≠ ACV/12 implied (2,200,000) | Opp: Tejoury/WH/JED3A/4495 SQM | Region: West</v>
      </c>
    </row>
    <row r="28" spans="1:36" ht="15" customHeight="1">
      <c r="A28" s="43">
        <v>23</v>
      </c>
      <c r="B28" s="44" t="str">
        <f>IF('Pipeline Data Input'!D25="","",'Pipeline Data Input'!D25)</f>
        <v>United Carton</v>
      </c>
      <c r="C28" s="44" t="str">
        <f>IF('Pipeline Data Input'!E25="","",'Pipeline Data Input'!E25)</f>
        <v>Simon Reah</v>
      </c>
      <c r="D28" s="45" t="str">
        <f>IF('Pipeline Data Input'!J25="","",'Pipeline Data Input'!J25)</f>
        <v>Proposal Sent</v>
      </c>
      <c r="E28" s="46">
        <f t="shared" si="0"/>
        <v>0.6</v>
      </c>
      <c r="F28" s="45" t="str">
        <f>IF('Pipeline Data Input'!B25="","",IFERROR(VLOOKUP('Pipeline Data Input'!B25,'Pipeline Data Input'!$A$66:$B$80,2,FALSE()),'Pipeline Data Input'!B25))</f>
        <v>Jeddah Modon 3B</v>
      </c>
      <c r="G28" s="47">
        <f>IF('Pipeline Data Input'!K25="","",'Pipeline Data Input'!K25)</f>
        <v>46204</v>
      </c>
      <c r="H28" s="48">
        <f>IF('Pipeline Data Input'!I25="",0,'Pipeline Data Input'!I25)</f>
        <v>504000</v>
      </c>
      <c r="I28" s="49">
        <f t="shared" si="1"/>
        <v>252000</v>
      </c>
      <c r="J28" s="50">
        <f>IF('Pipeline Data Input'!F25="",0,'Pipeline Data Input'!F25)</f>
        <v>1400</v>
      </c>
      <c r="K28" s="50">
        <f>IF('Pipeline Data Input'!G25="",0,'Pipeline Data Input'!G25)</f>
        <v>0</v>
      </c>
      <c r="L28" s="49">
        <f t="shared" si="2"/>
        <v>0</v>
      </c>
      <c r="M28" s="49">
        <f t="shared" si="3"/>
        <v>0</v>
      </c>
      <c r="N28" s="49">
        <f t="shared" si="4"/>
        <v>42000</v>
      </c>
      <c r="O28" s="49">
        <f t="shared" si="5"/>
        <v>42000</v>
      </c>
      <c r="P28" s="49">
        <f t="shared" si="6"/>
        <v>42000</v>
      </c>
      <c r="Q28" s="49">
        <f t="shared" si="7"/>
        <v>42000</v>
      </c>
      <c r="R28" s="49">
        <f t="shared" si="8"/>
        <v>42000</v>
      </c>
      <c r="S28" s="49">
        <f t="shared" si="9"/>
        <v>42000</v>
      </c>
      <c r="T28" s="51">
        <f t="shared" si="10"/>
        <v>252000</v>
      </c>
      <c r="U28" s="49">
        <f t="shared" si="11"/>
        <v>42000</v>
      </c>
      <c r="V28" s="49">
        <f t="shared" si="12"/>
        <v>42000</v>
      </c>
      <c r="W28" s="49">
        <f t="shared" si="13"/>
        <v>42000</v>
      </c>
      <c r="X28" s="49">
        <f t="shared" si="14"/>
        <v>42000</v>
      </c>
      <c r="Y28" s="49">
        <f t="shared" si="15"/>
        <v>42000</v>
      </c>
      <c r="Z28" s="49">
        <f t="shared" si="16"/>
        <v>42000</v>
      </c>
      <c r="AA28" s="49">
        <f t="shared" si="17"/>
        <v>42000</v>
      </c>
      <c r="AB28" s="49">
        <f t="shared" si="18"/>
        <v>42000</v>
      </c>
      <c r="AC28" s="49">
        <f t="shared" si="19"/>
        <v>42000</v>
      </c>
      <c r="AD28" s="49">
        <f t="shared" si="20"/>
        <v>42000</v>
      </c>
      <c r="AE28" s="49">
        <f t="shared" si="21"/>
        <v>42000</v>
      </c>
      <c r="AF28" s="49">
        <f t="shared" si="22"/>
        <v>42000</v>
      </c>
      <c r="AG28" s="51">
        <f t="shared" si="23"/>
        <v>504000</v>
      </c>
      <c r="AH28" s="52">
        <f t="shared" si="24"/>
        <v>756000</v>
      </c>
      <c r="AI28" s="52">
        <f t="shared" si="25"/>
        <v>453600</v>
      </c>
      <c r="AJ28" s="53" t="str">
        <f>IF('Pipeline Data Input'!M25="","",'Pipeline Data Input'!M25)</f>
        <v>Opp: United Carton/WH/JED3B/1400PP | Region: West</v>
      </c>
    </row>
    <row r="29" spans="1:36" ht="15" customHeight="1">
      <c r="A29" s="43">
        <v>24</v>
      </c>
      <c r="B29" s="44" t="str">
        <f>IF('Pipeline Data Input'!D26="","",'Pipeline Data Input'!D26)</f>
        <v>El Ajou Group</v>
      </c>
      <c r="C29" s="44" t="str">
        <f>IF('Pipeline Data Input'!E26="","",'Pipeline Data Input'!E26)</f>
        <v>Yazan Darwish</v>
      </c>
      <c r="D29" s="45" t="str">
        <f>IF('Pipeline Data Input'!J26="","",'Pipeline Data Input'!J26)</f>
        <v>Proposal Sent</v>
      </c>
      <c r="E29" s="46">
        <f t="shared" si="0"/>
        <v>0.6</v>
      </c>
      <c r="F29" s="45" t="str">
        <f>IF('Pipeline Data Input'!B26="","",IFERROR(VLOOKUP('Pipeline Data Input'!B26,'Pipeline Data Input'!$A$66:$B$80,2,FALSE()),'Pipeline Data Input'!B26))</f>
        <v>Jeddah Modon 3B</v>
      </c>
      <c r="G29" s="47">
        <f>IF('Pipeline Data Input'!K26="","",'Pipeline Data Input'!K26)</f>
        <v>46204</v>
      </c>
      <c r="H29" s="48">
        <f>IF('Pipeline Data Input'!I26="",0,'Pipeline Data Input'!I26)</f>
        <v>507000</v>
      </c>
      <c r="I29" s="49">
        <f t="shared" si="1"/>
        <v>253500</v>
      </c>
      <c r="J29" s="50">
        <f>IF('Pipeline Data Input'!F26="",0,'Pipeline Data Input'!F26)</f>
        <v>900</v>
      </c>
      <c r="K29" s="50">
        <f>IF('Pipeline Data Input'!G26="",0,'Pipeline Data Input'!G26)</f>
        <v>0</v>
      </c>
      <c r="L29" s="49">
        <f t="shared" si="2"/>
        <v>0</v>
      </c>
      <c r="M29" s="49">
        <f t="shared" si="3"/>
        <v>0</v>
      </c>
      <c r="N29" s="49">
        <f t="shared" si="4"/>
        <v>42250</v>
      </c>
      <c r="O29" s="49">
        <f t="shared" si="5"/>
        <v>42250</v>
      </c>
      <c r="P29" s="49">
        <f t="shared" si="6"/>
        <v>42250</v>
      </c>
      <c r="Q29" s="49">
        <f t="shared" si="7"/>
        <v>42250</v>
      </c>
      <c r="R29" s="49">
        <f t="shared" si="8"/>
        <v>42250</v>
      </c>
      <c r="S29" s="49">
        <f t="shared" si="9"/>
        <v>42250</v>
      </c>
      <c r="T29" s="51">
        <f t="shared" si="10"/>
        <v>253500</v>
      </c>
      <c r="U29" s="49">
        <f t="shared" si="11"/>
        <v>42250</v>
      </c>
      <c r="V29" s="49">
        <f t="shared" si="12"/>
        <v>42250</v>
      </c>
      <c r="W29" s="49">
        <f t="shared" si="13"/>
        <v>42250</v>
      </c>
      <c r="X29" s="49">
        <f t="shared" si="14"/>
        <v>42250</v>
      </c>
      <c r="Y29" s="49">
        <f t="shared" si="15"/>
        <v>42250</v>
      </c>
      <c r="Z29" s="49">
        <f t="shared" si="16"/>
        <v>42250</v>
      </c>
      <c r="AA29" s="49">
        <f t="shared" si="17"/>
        <v>42250</v>
      </c>
      <c r="AB29" s="49">
        <f t="shared" si="18"/>
        <v>42250</v>
      </c>
      <c r="AC29" s="49">
        <f t="shared" si="19"/>
        <v>42250</v>
      </c>
      <c r="AD29" s="49">
        <f t="shared" si="20"/>
        <v>42250</v>
      </c>
      <c r="AE29" s="49">
        <f t="shared" si="21"/>
        <v>42250</v>
      </c>
      <c r="AF29" s="49">
        <f t="shared" si="22"/>
        <v>42250</v>
      </c>
      <c r="AG29" s="51">
        <f t="shared" si="23"/>
        <v>507000</v>
      </c>
      <c r="AH29" s="52">
        <f t="shared" si="24"/>
        <v>760500</v>
      </c>
      <c r="AI29" s="52">
        <f t="shared" si="25"/>
        <v>456300</v>
      </c>
      <c r="AJ29" s="53" t="str">
        <f>IF('Pipeline Data Input'!M26="","",'Pipeline Data Input'!M26)</f>
        <v>Opp: El Ajou Group/WH/JED3B/900PP | Region: West</v>
      </c>
    </row>
    <row r="30" spans="1:36" ht="15" customHeight="1">
      <c r="A30" s="43">
        <v>25</v>
      </c>
      <c r="B30" s="44" t="str">
        <f>IF('Pipeline Data Input'!D27="","",'Pipeline Data Input'!D27)</f>
        <v>Astra Polymers</v>
      </c>
      <c r="C30" s="44" t="str">
        <f>IF('Pipeline Data Input'!E27="","",'Pipeline Data Input'!E27)</f>
        <v>Yazan Darwish</v>
      </c>
      <c r="D30" s="45" t="str">
        <f>IF('Pipeline Data Input'!J27="","",'Pipeline Data Input'!J27)</f>
        <v>Proposal Sent</v>
      </c>
      <c r="E30" s="46">
        <f t="shared" si="0"/>
        <v>0.6</v>
      </c>
      <c r="F30" s="45" t="str">
        <f>IF('Pipeline Data Input'!B27="","",IFERROR(VLOOKUP('Pipeline Data Input'!B27,'Pipeline Data Input'!$A$66:$B$80,2,FALSE()),'Pipeline Data Input'!B27))</f>
        <v>Jeddah Modon 3B</v>
      </c>
      <c r="G30" s="47">
        <f>IF('Pipeline Data Input'!K27="","",'Pipeline Data Input'!K27)</f>
        <v>46204</v>
      </c>
      <c r="H30" s="48">
        <f>IF('Pipeline Data Input'!I27="",0,'Pipeline Data Input'!I27)</f>
        <v>127000</v>
      </c>
      <c r="I30" s="49">
        <f t="shared" si="1"/>
        <v>63500.000000000007</v>
      </c>
      <c r="J30" s="50">
        <f>IF('Pipeline Data Input'!F27="",0,'Pipeline Data Input'!F27)</f>
        <v>250</v>
      </c>
      <c r="K30" s="50">
        <f>IF('Pipeline Data Input'!G27="",0,'Pipeline Data Input'!G27)</f>
        <v>0</v>
      </c>
      <c r="L30" s="49">
        <f t="shared" si="2"/>
        <v>0</v>
      </c>
      <c r="M30" s="49">
        <f t="shared" si="3"/>
        <v>0</v>
      </c>
      <c r="N30" s="49">
        <f t="shared" si="4"/>
        <v>10583.333333333334</v>
      </c>
      <c r="O30" s="49">
        <f t="shared" si="5"/>
        <v>10583.333333333334</v>
      </c>
      <c r="P30" s="49">
        <f t="shared" si="6"/>
        <v>10583.333333333334</v>
      </c>
      <c r="Q30" s="49">
        <f t="shared" si="7"/>
        <v>10583.333333333334</v>
      </c>
      <c r="R30" s="49">
        <f t="shared" si="8"/>
        <v>10583.333333333334</v>
      </c>
      <c r="S30" s="49">
        <f t="shared" si="9"/>
        <v>10583.333333333334</v>
      </c>
      <c r="T30" s="51">
        <f t="shared" si="10"/>
        <v>63500.000000000007</v>
      </c>
      <c r="U30" s="49">
        <f t="shared" si="11"/>
        <v>10583.333333333334</v>
      </c>
      <c r="V30" s="49">
        <f t="shared" si="12"/>
        <v>10583.333333333334</v>
      </c>
      <c r="W30" s="49">
        <f t="shared" si="13"/>
        <v>10583.333333333334</v>
      </c>
      <c r="X30" s="49">
        <f t="shared" si="14"/>
        <v>10583.333333333334</v>
      </c>
      <c r="Y30" s="49">
        <f t="shared" si="15"/>
        <v>10583.333333333334</v>
      </c>
      <c r="Z30" s="49">
        <f t="shared" si="16"/>
        <v>10583.333333333334</v>
      </c>
      <c r="AA30" s="49">
        <f t="shared" si="17"/>
        <v>10583.333333333334</v>
      </c>
      <c r="AB30" s="49">
        <f t="shared" si="18"/>
        <v>10583.333333333334</v>
      </c>
      <c r="AC30" s="49">
        <f t="shared" si="19"/>
        <v>10583.333333333334</v>
      </c>
      <c r="AD30" s="49">
        <f t="shared" si="20"/>
        <v>10583.333333333334</v>
      </c>
      <c r="AE30" s="49">
        <f t="shared" si="21"/>
        <v>10583.333333333334</v>
      </c>
      <c r="AF30" s="49">
        <f t="shared" si="22"/>
        <v>10583.333333333334</v>
      </c>
      <c r="AG30" s="51">
        <f t="shared" si="23"/>
        <v>126999.99999999999</v>
      </c>
      <c r="AH30" s="52">
        <f t="shared" si="24"/>
        <v>190500</v>
      </c>
      <c r="AI30" s="52">
        <f t="shared" si="25"/>
        <v>114300</v>
      </c>
      <c r="AJ30" s="53" t="str">
        <f>IF('Pipeline Data Input'!M27="","",'Pipeline Data Input'!M27)</f>
        <v>Opp: Astra/WH/JED/250PP | Region: West</v>
      </c>
    </row>
    <row r="31" spans="1:36" ht="15" customHeight="1">
      <c r="A31" s="43">
        <v>26</v>
      </c>
      <c r="B31" s="44" t="str">
        <f>IF('Pipeline Data Input'!D28="","",'Pipeline Data Input'!D28)</f>
        <v>Shuran Plastic</v>
      </c>
      <c r="C31" s="44" t="str">
        <f>IF('Pipeline Data Input'!E28="","",'Pipeline Data Input'!E28)</f>
        <v>Simon Reah</v>
      </c>
      <c r="D31" s="45" t="str">
        <f>IF('Pipeline Data Input'!J28="","",'Pipeline Data Input'!J28)</f>
        <v>Proposal Sent</v>
      </c>
      <c r="E31" s="46">
        <f t="shared" si="0"/>
        <v>0.6</v>
      </c>
      <c r="F31" s="45" t="str">
        <f>IF('Pipeline Data Input'!B28="","",IFERROR(VLOOKUP('Pipeline Data Input'!B28,'Pipeline Data Input'!$A$66:$B$80,2,FALSE()),'Pipeline Data Input'!B28))</f>
        <v>Jeddah Modon 3B</v>
      </c>
      <c r="G31" s="47">
        <f>IF('Pipeline Data Input'!K28="","",'Pipeline Data Input'!K28)</f>
        <v>46174</v>
      </c>
      <c r="H31" s="48">
        <f>IF('Pipeline Data Input'!I28="",0,'Pipeline Data Input'!I28)</f>
        <v>846000</v>
      </c>
      <c r="I31" s="49">
        <f t="shared" si="1"/>
        <v>493500</v>
      </c>
      <c r="J31" s="50">
        <f>IF('Pipeline Data Input'!F28="",0,'Pipeline Data Input'!F28)</f>
        <v>0</v>
      </c>
      <c r="K31" s="50">
        <f>IF('Pipeline Data Input'!G28="",0,'Pipeline Data Input'!G28)</f>
        <v>1500</v>
      </c>
      <c r="L31" s="49">
        <f t="shared" si="2"/>
        <v>0</v>
      </c>
      <c r="M31" s="49">
        <f t="shared" si="3"/>
        <v>70500</v>
      </c>
      <c r="N31" s="49">
        <f t="shared" si="4"/>
        <v>70500</v>
      </c>
      <c r="O31" s="49">
        <f t="shared" si="5"/>
        <v>70500</v>
      </c>
      <c r="P31" s="49">
        <f t="shared" si="6"/>
        <v>70500</v>
      </c>
      <c r="Q31" s="49">
        <f t="shared" si="7"/>
        <v>70500</v>
      </c>
      <c r="R31" s="49">
        <f t="shared" si="8"/>
        <v>70500</v>
      </c>
      <c r="S31" s="49">
        <f t="shared" si="9"/>
        <v>70500</v>
      </c>
      <c r="T31" s="51">
        <f t="shared" si="10"/>
        <v>493500</v>
      </c>
      <c r="U31" s="49">
        <f t="shared" si="11"/>
        <v>70500</v>
      </c>
      <c r="V31" s="49">
        <f t="shared" si="12"/>
        <v>70500</v>
      </c>
      <c r="W31" s="49">
        <f t="shared" si="13"/>
        <v>70500</v>
      </c>
      <c r="X31" s="49">
        <f t="shared" si="14"/>
        <v>70500</v>
      </c>
      <c r="Y31" s="49">
        <f t="shared" si="15"/>
        <v>70500</v>
      </c>
      <c r="Z31" s="49">
        <f t="shared" si="16"/>
        <v>70500</v>
      </c>
      <c r="AA31" s="49">
        <f t="shared" si="17"/>
        <v>70500</v>
      </c>
      <c r="AB31" s="49">
        <f t="shared" si="18"/>
        <v>70500</v>
      </c>
      <c r="AC31" s="49">
        <f t="shared" si="19"/>
        <v>70500</v>
      </c>
      <c r="AD31" s="49">
        <f t="shared" si="20"/>
        <v>70500</v>
      </c>
      <c r="AE31" s="49">
        <f t="shared" si="21"/>
        <v>70500</v>
      </c>
      <c r="AF31" s="49">
        <f t="shared" si="22"/>
        <v>70500</v>
      </c>
      <c r="AG31" s="51">
        <f t="shared" si="23"/>
        <v>846000</v>
      </c>
      <c r="AH31" s="52">
        <f t="shared" si="24"/>
        <v>1339500</v>
      </c>
      <c r="AI31" s="52">
        <f t="shared" si="25"/>
        <v>803700</v>
      </c>
      <c r="AJ31" s="53" t="str">
        <f>IF('Pipeline Data Input'!M28="","",'Pipeline Data Input'!M28)</f>
        <v>Opp: Shuran Plastic/WH/JED3B/1500SQM | Region: West</v>
      </c>
    </row>
    <row r="32" spans="1:36" ht="15" customHeight="1">
      <c r="A32" s="43">
        <v>27</v>
      </c>
      <c r="B32" s="44" t="str">
        <f>IF('Pipeline Data Input'!D29="","",'Pipeline Data Input'!D29)</f>
        <v>Solenis</v>
      </c>
      <c r="C32" s="44" t="str">
        <f>IF('Pipeline Data Input'!E29="","",'Pipeline Data Input'!E29)</f>
        <v>Amin AlHalabi</v>
      </c>
      <c r="D32" s="45" t="str">
        <f>IF('Pipeline Data Input'!J29="","",'Pipeline Data Input'!J29)</f>
        <v>Proposal Sent</v>
      </c>
      <c r="E32" s="46">
        <f t="shared" si="0"/>
        <v>0.6</v>
      </c>
      <c r="F32" s="45" t="str">
        <f>IF('Pipeline Data Input'!B29="","",IFERROR(VLOOKUP('Pipeline Data Input'!B29,'Pipeline Data Input'!$A$66:$B$80,2,FALSE()),'Pipeline Data Input'!B29))</f>
        <v>RUH Tayba</v>
      </c>
      <c r="G32" s="47">
        <f>IF('Pipeline Data Input'!K29="","",'Pipeline Data Input'!K29)</f>
        <v>46266</v>
      </c>
      <c r="H32" s="48">
        <f>IF('Pipeline Data Input'!I29="",0,'Pipeline Data Input'!I29)</f>
        <v>1740000</v>
      </c>
      <c r="I32" s="49">
        <f t="shared" si="1"/>
        <v>580000</v>
      </c>
      <c r="J32" s="50">
        <f>IF('Pipeline Data Input'!F29="",0,'Pipeline Data Input'!F29)</f>
        <v>3000</v>
      </c>
      <c r="K32" s="50">
        <f>IF('Pipeline Data Input'!G29="",0,'Pipeline Data Input'!G29)</f>
        <v>0</v>
      </c>
      <c r="L32" s="49">
        <f t="shared" si="2"/>
        <v>0</v>
      </c>
      <c r="M32" s="49">
        <f t="shared" si="3"/>
        <v>0</v>
      </c>
      <c r="N32" s="49">
        <f t="shared" si="4"/>
        <v>0</v>
      </c>
      <c r="O32" s="49">
        <f t="shared" si="5"/>
        <v>0</v>
      </c>
      <c r="P32" s="49">
        <f t="shared" si="6"/>
        <v>145000</v>
      </c>
      <c r="Q32" s="49">
        <f t="shared" si="7"/>
        <v>145000</v>
      </c>
      <c r="R32" s="49">
        <f t="shared" si="8"/>
        <v>145000</v>
      </c>
      <c r="S32" s="49">
        <f t="shared" si="9"/>
        <v>145000</v>
      </c>
      <c r="T32" s="51">
        <f t="shared" si="10"/>
        <v>580000</v>
      </c>
      <c r="U32" s="49">
        <f t="shared" si="11"/>
        <v>145000</v>
      </c>
      <c r="V32" s="49">
        <f t="shared" si="12"/>
        <v>145000</v>
      </c>
      <c r="W32" s="49">
        <f t="shared" si="13"/>
        <v>145000</v>
      </c>
      <c r="X32" s="49">
        <f t="shared" si="14"/>
        <v>145000</v>
      </c>
      <c r="Y32" s="49">
        <f t="shared" si="15"/>
        <v>145000</v>
      </c>
      <c r="Z32" s="49">
        <f t="shared" si="16"/>
        <v>145000</v>
      </c>
      <c r="AA32" s="49">
        <f t="shared" si="17"/>
        <v>145000</v>
      </c>
      <c r="AB32" s="49">
        <f t="shared" si="18"/>
        <v>145000</v>
      </c>
      <c r="AC32" s="49">
        <f t="shared" si="19"/>
        <v>145000</v>
      </c>
      <c r="AD32" s="49">
        <f t="shared" si="20"/>
        <v>145000</v>
      </c>
      <c r="AE32" s="49">
        <f t="shared" si="21"/>
        <v>145000</v>
      </c>
      <c r="AF32" s="49">
        <f t="shared" si="22"/>
        <v>145000</v>
      </c>
      <c r="AG32" s="51">
        <f t="shared" si="23"/>
        <v>1740000</v>
      </c>
      <c r="AH32" s="52">
        <f t="shared" si="24"/>
        <v>2320000</v>
      </c>
      <c r="AI32" s="52">
        <f t="shared" si="25"/>
        <v>1392000</v>
      </c>
      <c r="AJ32" s="53" t="str">
        <f>IF('Pipeline Data Input'!M29="","",'Pipeline Data Input'!M29)</f>
        <v>Opp: Solenis/WH/RUH/3000PP | Region: Central</v>
      </c>
    </row>
    <row r="33" spans="1:36" ht="15" customHeight="1">
      <c r="A33" s="43">
        <v>28</v>
      </c>
      <c r="B33" s="44" t="str">
        <f>IF('Pipeline Data Input'!D30="","",'Pipeline Data Input'!D30)</f>
        <v>Kuehne &amp; Nagel</v>
      </c>
      <c r="C33" s="44" t="str">
        <f>IF('Pipeline Data Input'!E30="","",'Pipeline Data Input'!E30)</f>
        <v>Simon Reah</v>
      </c>
      <c r="D33" s="45" t="str">
        <f>IF('Pipeline Data Input'!J30="","",'Pipeline Data Input'!J30)</f>
        <v>Proposal Sent</v>
      </c>
      <c r="E33" s="46">
        <f t="shared" si="0"/>
        <v>0.6</v>
      </c>
      <c r="F33" s="45" t="str">
        <f>IF('Pipeline Data Input'!B30="","",IFERROR(VLOOKUP('Pipeline Data Input'!B30,'Pipeline Data Input'!$A$66:$B$80,2,FALSE()),'Pipeline Data Input'!B30))</f>
        <v>RUH Tayba</v>
      </c>
      <c r="G33" s="47">
        <f>IF('Pipeline Data Input'!K30="","",'Pipeline Data Input'!K30)</f>
        <v>46327</v>
      </c>
      <c r="H33" s="48">
        <f>IF('Pipeline Data Input'!I30="",0,'Pipeline Data Input'!I30)</f>
        <v>6102000</v>
      </c>
      <c r="I33" s="49">
        <f t="shared" si="1"/>
        <v>1017000</v>
      </c>
      <c r="J33" s="50">
        <f>IF('Pipeline Data Input'!F30="",0,'Pipeline Data Input'!F30)</f>
        <v>2500</v>
      </c>
      <c r="K33" s="50">
        <f>IF('Pipeline Data Input'!G30="",0,'Pipeline Data Input'!G30)</f>
        <v>0</v>
      </c>
      <c r="L33" s="49">
        <f t="shared" si="2"/>
        <v>0</v>
      </c>
      <c r="M33" s="49">
        <f t="shared" si="3"/>
        <v>0</v>
      </c>
      <c r="N33" s="49">
        <f t="shared" si="4"/>
        <v>0</v>
      </c>
      <c r="O33" s="49">
        <f t="shared" si="5"/>
        <v>0</v>
      </c>
      <c r="P33" s="49">
        <f t="shared" si="6"/>
        <v>0</v>
      </c>
      <c r="Q33" s="49">
        <f t="shared" si="7"/>
        <v>0</v>
      </c>
      <c r="R33" s="49">
        <f t="shared" si="8"/>
        <v>508500</v>
      </c>
      <c r="S33" s="49">
        <f t="shared" si="9"/>
        <v>508500</v>
      </c>
      <c r="T33" s="51">
        <f t="shared" si="10"/>
        <v>1017000</v>
      </c>
      <c r="U33" s="49">
        <f t="shared" si="11"/>
        <v>508500</v>
      </c>
      <c r="V33" s="49">
        <f t="shared" si="12"/>
        <v>508500</v>
      </c>
      <c r="W33" s="49">
        <f t="shared" si="13"/>
        <v>508500</v>
      </c>
      <c r="X33" s="49">
        <f t="shared" si="14"/>
        <v>508500</v>
      </c>
      <c r="Y33" s="49">
        <f t="shared" si="15"/>
        <v>508500</v>
      </c>
      <c r="Z33" s="49">
        <f t="shared" si="16"/>
        <v>508500</v>
      </c>
      <c r="AA33" s="49">
        <f t="shared" si="17"/>
        <v>508500</v>
      </c>
      <c r="AB33" s="49">
        <f t="shared" si="18"/>
        <v>508500</v>
      </c>
      <c r="AC33" s="49">
        <f t="shared" si="19"/>
        <v>508500</v>
      </c>
      <c r="AD33" s="49">
        <f t="shared" si="20"/>
        <v>508500</v>
      </c>
      <c r="AE33" s="49">
        <f t="shared" si="21"/>
        <v>508500</v>
      </c>
      <c r="AF33" s="49">
        <f t="shared" si="22"/>
        <v>508500</v>
      </c>
      <c r="AG33" s="51">
        <f t="shared" si="23"/>
        <v>6102000</v>
      </c>
      <c r="AH33" s="52">
        <f t="shared" si="24"/>
        <v>7119000</v>
      </c>
      <c r="AI33" s="52">
        <f t="shared" si="25"/>
        <v>4271400</v>
      </c>
      <c r="AJ33" s="53" t="str">
        <f>IF('Pipeline Data Input'!M30="","",'Pipeline Data Input'!M30)</f>
        <v>⚠ Source Exp CY (339,000) ≠ ACV/12 implied (1,017,000) | Opp: KN-Hample/WH/RUH/2,500PP | Region: Central</v>
      </c>
    </row>
    <row r="34" spans="1:36" ht="15" customHeight="1">
      <c r="A34" s="43">
        <v>29</v>
      </c>
      <c r="B34" s="44" t="str">
        <f>IF('Pipeline Data Input'!D31="","",'Pipeline Data Input'!D31)</f>
        <v>United Carton</v>
      </c>
      <c r="C34" s="44" t="str">
        <f>IF('Pipeline Data Input'!E31="","",'Pipeline Data Input'!E31)</f>
        <v>Simon Reah</v>
      </c>
      <c r="D34" s="45" t="str">
        <f>IF('Pipeline Data Input'!J31="","",'Pipeline Data Input'!J31)</f>
        <v>Proposal Sent</v>
      </c>
      <c r="E34" s="46">
        <f t="shared" si="0"/>
        <v>0.6</v>
      </c>
      <c r="F34" s="45" t="str">
        <f>IF('Pipeline Data Input'!B31="","",IFERROR(VLOOKUP('Pipeline Data Input'!B31,'Pipeline Data Input'!$A$66:$B$80,2,FALSE()),'Pipeline Data Input'!B31))</f>
        <v>RUH Tayba</v>
      </c>
      <c r="G34" s="47">
        <f>IF('Pipeline Data Input'!K31="","",'Pipeline Data Input'!K31)</f>
        <v>46204</v>
      </c>
      <c r="H34" s="48">
        <f>IF('Pipeline Data Input'!I31="",0,'Pipeline Data Input'!I31)</f>
        <v>504000</v>
      </c>
      <c r="I34" s="49">
        <f t="shared" si="1"/>
        <v>252000</v>
      </c>
      <c r="J34" s="50">
        <f>IF('Pipeline Data Input'!F31="",0,'Pipeline Data Input'!F31)</f>
        <v>1200</v>
      </c>
      <c r="K34" s="50">
        <f>IF('Pipeline Data Input'!G31="",0,'Pipeline Data Input'!G31)</f>
        <v>0</v>
      </c>
      <c r="L34" s="49">
        <f t="shared" si="2"/>
        <v>0</v>
      </c>
      <c r="M34" s="49">
        <f t="shared" si="3"/>
        <v>0</v>
      </c>
      <c r="N34" s="49">
        <f t="shared" si="4"/>
        <v>42000</v>
      </c>
      <c r="O34" s="49">
        <f t="shared" si="5"/>
        <v>42000</v>
      </c>
      <c r="P34" s="49">
        <f t="shared" si="6"/>
        <v>42000</v>
      </c>
      <c r="Q34" s="49">
        <f t="shared" si="7"/>
        <v>42000</v>
      </c>
      <c r="R34" s="49">
        <f t="shared" si="8"/>
        <v>42000</v>
      </c>
      <c r="S34" s="49">
        <f t="shared" si="9"/>
        <v>42000</v>
      </c>
      <c r="T34" s="51">
        <f t="shared" si="10"/>
        <v>252000</v>
      </c>
      <c r="U34" s="49">
        <f t="shared" si="11"/>
        <v>42000</v>
      </c>
      <c r="V34" s="49">
        <f t="shared" si="12"/>
        <v>42000</v>
      </c>
      <c r="W34" s="49">
        <f t="shared" si="13"/>
        <v>42000</v>
      </c>
      <c r="X34" s="49">
        <f t="shared" si="14"/>
        <v>42000</v>
      </c>
      <c r="Y34" s="49">
        <f t="shared" si="15"/>
        <v>42000</v>
      </c>
      <c r="Z34" s="49">
        <f t="shared" si="16"/>
        <v>42000</v>
      </c>
      <c r="AA34" s="49">
        <f t="shared" si="17"/>
        <v>42000</v>
      </c>
      <c r="AB34" s="49">
        <f t="shared" si="18"/>
        <v>42000</v>
      </c>
      <c r="AC34" s="49">
        <f t="shared" si="19"/>
        <v>42000</v>
      </c>
      <c r="AD34" s="49">
        <f t="shared" si="20"/>
        <v>42000</v>
      </c>
      <c r="AE34" s="49">
        <f t="shared" si="21"/>
        <v>42000</v>
      </c>
      <c r="AF34" s="49">
        <f t="shared" si="22"/>
        <v>42000</v>
      </c>
      <c r="AG34" s="51">
        <f t="shared" si="23"/>
        <v>504000</v>
      </c>
      <c r="AH34" s="52">
        <f t="shared" si="24"/>
        <v>756000</v>
      </c>
      <c r="AI34" s="52">
        <f t="shared" si="25"/>
        <v>453600</v>
      </c>
      <c r="AJ34" s="53" t="str">
        <f>IF('Pipeline Data Input'!M31="","",'Pipeline Data Input'!M31)</f>
        <v>Opp: United Carton/WH/RUH/1200PP | Region: Central</v>
      </c>
    </row>
    <row r="35" spans="1:36" ht="15" customHeight="1">
      <c r="A35" s="43">
        <v>30</v>
      </c>
      <c r="B35" s="44" t="str">
        <f>IF('Pipeline Data Input'!D32="","",'Pipeline Data Input'!D32)</f>
        <v>Kuehne &amp; Nagel</v>
      </c>
      <c r="C35" s="44" t="str">
        <f>IF('Pipeline Data Input'!E32="","",'Pipeline Data Input'!E32)</f>
        <v>Simon Reah</v>
      </c>
      <c r="D35" s="45" t="str">
        <f>IF('Pipeline Data Input'!J32="","",'Pipeline Data Input'!J32)</f>
        <v>Proposal Sent</v>
      </c>
      <c r="E35" s="46">
        <f t="shared" si="0"/>
        <v>0.6</v>
      </c>
      <c r="F35" s="45" t="str">
        <f>IF('Pipeline Data Input'!B32="","",IFERROR(VLOOKUP('Pipeline Data Input'!B32,'Pipeline Data Input'!$A$66:$B$80,2,FALSE()),'Pipeline Data Input'!B32))</f>
        <v>RUH Tayba</v>
      </c>
      <c r="G35" s="47">
        <f>IF('Pipeline Data Input'!K32="","",'Pipeline Data Input'!K32)</f>
        <v>46204</v>
      </c>
      <c r="H35" s="48">
        <f>IF('Pipeline Data Input'!I32="",0,'Pipeline Data Input'!I32)</f>
        <v>2025000</v>
      </c>
      <c r="I35" s="49">
        <f t="shared" si="1"/>
        <v>1012500</v>
      </c>
      <c r="J35" s="50">
        <f>IF('Pipeline Data Input'!F32="",0,'Pipeline Data Input'!F32)</f>
        <v>0</v>
      </c>
      <c r="K35" s="50">
        <f>IF('Pipeline Data Input'!G32="",0,'Pipeline Data Input'!G32)</f>
        <v>5000</v>
      </c>
      <c r="L35" s="49">
        <f t="shared" si="2"/>
        <v>0</v>
      </c>
      <c r="M35" s="49">
        <f t="shared" si="3"/>
        <v>0</v>
      </c>
      <c r="N35" s="49">
        <f t="shared" si="4"/>
        <v>168750</v>
      </c>
      <c r="O35" s="49">
        <f t="shared" si="5"/>
        <v>168750</v>
      </c>
      <c r="P35" s="49">
        <f t="shared" si="6"/>
        <v>168750</v>
      </c>
      <c r="Q35" s="49">
        <f t="shared" si="7"/>
        <v>168750</v>
      </c>
      <c r="R35" s="49">
        <f t="shared" si="8"/>
        <v>168750</v>
      </c>
      <c r="S35" s="49">
        <f t="shared" si="9"/>
        <v>168750</v>
      </c>
      <c r="T35" s="51">
        <f t="shared" si="10"/>
        <v>1012500</v>
      </c>
      <c r="U35" s="49">
        <f t="shared" si="11"/>
        <v>168750</v>
      </c>
      <c r="V35" s="49">
        <f t="shared" si="12"/>
        <v>168750</v>
      </c>
      <c r="W35" s="49">
        <f t="shared" si="13"/>
        <v>168750</v>
      </c>
      <c r="X35" s="49">
        <f t="shared" si="14"/>
        <v>168750</v>
      </c>
      <c r="Y35" s="49">
        <f t="shared" si="15"/>
        <v>168750</v>
      </c>
      <c r="Z35" s="49">
        <f t="shared" si="16"/>
        <v>168750</v>
      </c>
      <c r="AA35" s="49">
        <f t="shared" si="17"/>
        <v>168750</v>
      </c>
      <c r="AB35" s="49">
        <f t="shared" si="18"/>
        <v>168750</v>
      </c>
      <c r="AC35" s="49">
        <f t="shared" si="19"/>
        <v>168750</v>
      </c>
      <c r="AD35" s="49">
        <f t="shared" si="20"/>
        <v>168750</v>
      </c>
      <c r="AE35" s="49">
        <f t="shared" si="21"/>
        <v>168750</v>
      </c>
      <c r="AF35" s="49">
        <f t="shared" si="22"/>
        <v>168750</v>
      </c>
      <c r="AG35" s="51">
        <f t="shared" si="23"/>
        <v>2025000</v>
      </c>
      <c r="AH35" s="52">
        <f t="shared" si="24"/>
        <v>3037500</v>
      </c>
      <c r="AI35" s="52">
        <f t="shared" si="25"/>
        <v>1822500</v>
      </c>
      <c r="AJ35" s="53" t="str">
        <f>IF('Pipeline Data Input'!M32="","",'Pipeline Data Input'!M32)</f>
        <v>Opp: KN/WH/RUH/ 5000SQM | Region: Central</v>
      </c>
    </row>
    <row r="36" spans="1:36" ht="15" customHeight="1">
      <c r="A36" s="43">
        <v>31</v>
      </c>
      <c r="B36" s="44" t="str">
        <f>IF('Pipeline Data Input'!D33="","",'Pipeline Data Input'!D33)</f>
        <v>Kuehne &amp; Nagel</v>
      </c>
      <c r="C36" s="44" t="str">
        <f>IF('Pipeline Data Input'!E33="","",'Pipeline Data Input'!E33)</f>
        <v>Simon Reah</v>
      </c>
      <c r="D36" s="45" t="str">
        <f>IF('Pipeline Data Input'!J33="","",'Pipeline Data Input'!J33)</f>
        <v>Proposal Sent</v>
      </c>
      <c r="E36" s="46">
        <f t="shared" si="0"/>
        <v>0.6</v>
      </c>
      <c r="F36" s="45" t="str">
        <f>IF('Pipeline Data Input'!B33="","",IFERROR(VLOOKUP('Pipeline Data Input'!B33,'Pipeline Data Input'!$A$66:$B$80,2,FALSE()),'Pipeline Data Input'!B33))</f>
        <v>RUH Tayba</v>
      </c>
      <c r="G36" s="47">
        <f>IF('Pipeline Data Input'!K33="","",'Pipeline Data Input'!K33)</f>
        <v>46157</v>
      </c>
      <c r="H36" s="48">
        <f>IF('Pipeline Data Input'!I33="",0,'Pipeline Data Input'!I33)</f>
        <v>98046</v>
      </c>
      <c r="I36" s="49">
        <f t="shared" si="1"/>
        <v>65364</v>
      </c>
      <c r="J36" s="50">
        <f>IF('Pipeline Data Input'!F33="",0,'Pipeline Data Input'!F33)</f>
        <v>0</v>
      </c>
      <c r="K36" s="50">
        <f>IF('Pipeline Data Input'!G33="",0,'Pipeline Data Input'!G33)</f>
        <v>150</v>
      </c>
      <c r="L36" s="49">
        <f t="shared" si="2"/>
        <v>8170.5</v>
      </c>
      <c r="M36" s="49">
        <f t="shared" si="3"/>
        <v>8170.5</v>
      </c>
      <c r="N36" s="49">
        <f t="shared" si="4"/>
        <v>8170.5</v>
      </c>
      <c r="O36" s="49">
        <f t="shared" si="5"/>
        <v>8170.5</v>
      </c>
      <c r="P36" s="49">
        <f t="shared" si="6"/>
        <v>8170.5</v>
      </c>
      <c r="Q36" s="49">
        <f t="shared" si="7"/>
        <v>8170.5</v>
      </c>
      <c r="R36" s="49">
        <f t="shared" si="8"/>
        <v>8170.5</v>
      </c>
      <c r="S36" s="49">
        <f t="shared" si="9"/>
        <v>8170.5</v>
      </c>
      <c r="T36" s="51">
        <f t="shared" si="10"/>
        <v>65364</v>
      </c>
      <c r="U36" s="49">
        <f t="shared" si="11"/>
        <v>8170.5</v>
      </c>
      <c r="V36" s="49">
        <f t="shared" si="12"/>
        <v>8170.5</v>
      </c>
      <c r="W36" s="49">
        <f t="shared" si="13"/>
        <v>8170.5</v>
      </c>
      <c r="X36" s="49">
        <f t="shared" si="14"/>
        <v>8170.5</v>
      </c>
      <c r="Y36" s="49">
        <f t="shared" si="15"/>
        <v>8170.5</v>
      </c>
      <c r="Z36" s="49">
        <f t="shared" si="16"/>
        <v>8170.5</v>
      </c>
      <c r="AA36" s="49">
        <f t="shared" si="17"/>
        <v>8170.5</v>
      </c>
      <c r="AB36" s="49">
        <f t="shared" si="18"/>
        <v>8170.5</v>
      </c>
      <c r="AC36" s="49">
        <f t="shared" si="19"/>
        <v>8170.5</v>
      </c>
      <c r="AD36" s="49">
        <f t="shared" si="20"/>
        <v>8170.5</v>
      </c>
      <c r="AE36" s="49">
        <f t="shared" si="21"/>
        <v>8170.5</v>
      </c>
      <c r="AF36" s="49">
        <f t="shared" si="22"/>
        <v>8170.5</v>
      </c>
      <c r="AG36" s="51">
        <f t="shared" si="23"/>
        <v>98046</v>
      </c>
      <c r="AH36" s="52">
        <f t="shared" si="24"/>
        <v>163410</v>
      </c>
      <c r="AI36" s="52">
        <f t="shared" si="25"/>
        <v>98046</v>
      </c>
      <c r="AJ36" s="53" t="str">
        <f>IF('Pipeline Data Input'!M33="","",'Pipeline Data Input'!M33)</f>
        <v>Opp: KN/WH/RUH/150SQM | Region: Central</v>
      </c>
    </row>
    <row r="37" spans="1:36" ht="15" customHeight="1">
      <c r="A37" s="43">
        <v>32</v>
      </c>
      <c r="B37" s="44" t="str">
        <f>IF('Pipeline Data Input'!D34="","",'Pipeline Data Input'!D34)</f>
        <v>Baxter</v>
      </c>
      <c r="C37" s="44" t="str">
        <f>IF('Pipeline Data Input'!E34="","",'Pipeline Data Input'!E34)</f>
        <v>Yazan Darwish</v>
      </c>
      <c r="D37" s="45" t="str">
        <f>IF('Pipeline Data Input'!J34="","",'Pipeline Data Input'!J34)</f>
        <v>Proposal Sent</v>
      </c>
      <c r="E37" s="46">
        <f t="shared" si="0"/>
        <v>0.6</v>
      </c>
      <c r="F37" s="45" t="str">
        <f>IF('Pipeline Data Input'!B34="","",IFERROR(VLOOKUP('Pipeline Data Input'!B34,'Pipeline Data Input'!$A$66:$B$80,2,FALSE()),'Pipeline Data Input'!B34))</f>
        <v>Subcontractor</v>
      </c>
      <c r="G37" s="47">
        <f>IF('Pipeline Data Input'!K34="","",'Pipeline Data Input'!K34)</f>
        <v>46174</v>
      </c>
      <c r="H37" s="48">
        <f>IF('Pipeline Data Input'!I34="",0,'Pipeline Data Input'!I34)</f>
        <v>1000000</v>
      </c>
      <c r="I37" s="49">
        <f t="shared" si="1"/>
        <v>583333.33333333326</v>
      </c>
      <c r="J37" s="50">
        <f>IF('Pipeline Data Input'!F34="",0,'Pipeline Data Input'!F34)</f>
        <v>2500</v>
      </c>
      <c r="K37" s="50">
        <f>IF('Pipeline Data Input'!G34="",0,'Pipeline Data Input'!G34)</f>
        <v>0</v>
      </c>
      <c r="L37" s="49">
        <f t="shared" si="2"/>
        <v>0</v>
      </c>
      <c r="M37" s="49">
        <f t="shared" si="3"/>
        <v>83333.333333333328</v>
      </c>
      <c r="N37" s="49">
        <f t="shared" si="4"/>
        <v>83333.333333333328</v>
      </c>
      <c r="O37" s="49">
        <f t="shared" si="5"/>
        <v>83333.333333333328</v>
      </c>
      <c r="P37" s="49">
        <f t="shared" si="6"/>
        <v>83333.333333333328</v>
      </c>
      <c r="Q37" s="49">
        <f t="shared" si="7"/>
        <v>83333.333333333328</v>
      </c>
      <c r="R37" s="49">
        <f t="shared" si="8"/>
        <v>83333.333333333328</v>
      </c>
      <c r="S37" s="49">
        <f t="shared" si="9"/>
        <v>83333.333333333328</v>
      </c>
      <c r="T37" s="51">
        <f t="shared" si="10"/>
        <v>583333.33333333326</v>
      </c>
      <c r="U37" s="49">
        <f t="shared" si="11"/>
        <v>83333.333333333328</v>
      </c>
      <c r="V37" s="49">
        <f t="shared" si="12"/>
        <v>83333.333333333328</v>
      </c>
      <c r="W37" s="49">
        <f t="shared" si="13"/>
        <v>83333.333333333328</v>
      </c>
      <c r="X37" s="49">
        <f t="shared" si="14"/>
        <v>83333.333333333328</v>
      </c>
      <c r="Y37" s="49">
        <f t="shared" si="15"/>
        <v>83333.333333333328</v>
      </c>
      <c r="Z37" s="49">
        <f t="shared" si="16"/>
        <v>83333.333333333328</v>
      </c>
      <c r="AA37" s="49">
        <f t="shared" si="17"/>
        <v>83333.333333333328</v>
      </c>
      <c r="AB37" s="49">
        <f t="shared" si="18"/>
        <v>83333.333333333328</v>
      </c>
      <c r="AC37" s="49">
        <f t="shared" si="19"/>
        <v>83333.333333333328</v>
      </c>
      <c r="AD37" s="49">
        <f t="shared" si="20"/>
        <v>83333.333333333328</v>
      </c>
      <c r="AE37" s="49">
        <f t="shared" si="21"/>
        <v>83333.333333333328</v>
      </c>
      <c r="AF37" s="49">
        <f t="shared" si="22"/>
        <v>83333.333333333328</v>
      </c>
      <c r="AG37" s="51">
        <f t="shared" si="23"/>
        <v>1000000.0000000001</v>
      </c>
      <c r="AH37" s="52">
        <f t="shared" si="24"/>
        <v>1583333.3333333335</v>
      </c>
      <c r="AI37" s="52">
        <f t="shared" si="25"/>
        <v>950000</v>
      </c>
      <c r="AJ37" s="53" t="str">
        <f>IF('Pipeline Data Input'!M34="","",'Pipeline Data Input'!M34)</f>
        <v>⚠ Source Exp CY (1,155,000) ≠ ACV/12 implied (583,333) | Opp: Baxter/WH/RUH/2500PP | Region: Central</v>
      </c>
    </row>
    <row r="38" spans="1:36" ht="15" customHeight="1">
      <c r="A38" s="43">
        <v>33</v>
      </c>
      <c r="B38" s="44" t="str">
        <f>IF('Pipeline Data Input'!D35="","",'Pipeline Data Input'!D35)</f>
        <v>Al Nahdi</v>
      </c>
      <c r="C38" s="44" t="str">
        <f>IF('Pipeline Data Input'!E35="","",'Pipeline Data Input'!E35)</f>
        <v>Simon Reah</v>
      </c>
      <c r="D38" s="45" t="str">
        <f>IF('Pipeline Data Input'!J35="","",'Pipeline Data Input'!J35)</f>
        <v>Proposal Sent</v>
      </c>
      <c r="E38" s="46">
        <f t="shared" ref="E38:E65" si="26">IFERROR(VLOOKUP(D38,$B$211:$C$217,2,FALSE()),0)</f>
        <v>0.6</v>
      </c>
      <c r="F38" s="45" t="str">
        <f>IF('Pipeline Data Input'!B35="","",IFERROR(VLOOKUP('Pipeline Data Input'!B35,'Pipeline Data Input'!$A$66:$B$80,2,FALSE()),'Pipeline Data Input'!B35))</f>
        <v>Subcontractor</v>
      </c>
      <c r="G38" s="47">
        <f>IF('Pipeline Data Input'!K35="","",'Pipeline Data Input'!K35)</f>
        <v>46143</v>
      </c>
      <c r="H38" s="48">
        <f>IF('Pipeline Data Input'!I35="",0,'Pipeline Data Input'!I35)</f>
        <v>800000</v>
      </c>
      <c r="I38" s="49">
        <f t="shared" ref="I38:I65" si="27">T38</f>
        <v>533333.33333333337</v>
      </c>
      <c r="J38" s="50">
        <f>IF('Pipeline Data Input'!F35="",0,'Pipeline Data Input'!F35)</f>
        <v>2000</v>
      </c>
      <c r="K38" s="50">
        <f>IF('Pipeline Data Input'!G35="",0,'Pipeline Data Input'!G35)</f>
        <v>0</v>
      </c>
      <c r="L38" s="49">
        <f t="shared" ref="L38:L65" si="28">IF(OR(G38="",H38=""),0,IF(DATE(2026,5,1)&gt;=DATE(YEAR(G38),MONTH(G38),1),H38/12,0))</f>
        <v>66666.666666666672</v>
      </c>
      <c r="M38" s="49">
        <f t="shared" ref="M38:M65" si="29">IF(OR(G38="",H38=""),0,IF(DATE(2026,6,1)&gt;=DATE(YEAR(G38),MONTH(G38),1),H38/12,0))</f>
        <v>66666.666666666672</v>
      </c>
      <c r="N38" s="49">
        <f t="shared" ref="N38:N65" si="30">IF(OR(G38="",H38=""),0,IF(DATE(2026,7,1)&gt;=DATE(YEAR(G38),MONTH(G38),1),H38/12,0))</f>
        <v>66666.666666666672</v>
      </c>
      <c r="O38" s="49">
        <f t="shared" ref="O38:O65" si="31">IF(OR(G38="",H38=""),0,IF(DATE(2026,8,1)&gt;=DATE(YEAR(G38),MONTH(G38),1),H38/12,0))</f>
        <v>66666.666666666672</v>
      </c>
      <c r="P38" s="49">
        <f t="shared" ref="P38:P65" si="32">IF(OR(G38="",H38=""),0,IF(DATE(2026,9,1)&gt;=DATE(YEAR(G38),MONTH(G38),1),H38/12,0))</f>
        <v>66666.666666666672</v>
      </c>
      <c r="Q38" s="49">
        <f t="shared" ref="Q38:Q65" si="33">IF(OR(G38="",H38=""),0,IF(DATE(2026,10,1)&gt;=DATE(YEAR(G38),MONTH(G38),1),H38/12,0))</f>
        <v>66666.666666666672</v>
      </c>
      <c r="R38" s="49">
        <f t="shared" ref="R38:R65" si="34">IF(OR(G38="",H38=""),0,IF(DATE(2026,11,1)&gt;=DATE(YEAR(G38),MONTH(G38),1),H38/12,0))</f>
        <v>66666.666666666672</v>
      </c>
      <c r="S38" s="49">
        <f t="shared" ref="S38:S65" si="35">IF(OR(G38="",H38=""),0,IF(DATE(2026,12,1)&gt;=DATE(YEAR(G38),MONTH(G38),1),H38/12,0))</f>
        <v>66666.666666666672</v>
      </c>
      <c r="T38" s="51">
        <f t="shared" ref="T38:T67" si="36">SUM(L38:S38)</f>
        <v>533333.33333333337</v>
      </c>
      <c r="U38" s="49">
        <f t="shared" ref="U38:U65" si="37">IF(OR(G38="",H38=""),0,IF(DATE(2027,1,1)&gt;=DATE(YEAR(G38),MONTH(G38),1),H38/12,0))</f>
        <v>66666.666666666672</v>
      </c>
      <c r="V38" s="49">
        <f t="shared" ref="V38:V65" si="38">IF(OR(G38="",H38=""),0,IF(DATE(2027,2,1)&gt;=DATE(YEAR(G38),MONTH(G38),1),H38/12,0))</f>
        <v>66666.666666666672</v>
      </c>
      <c r="W38" s="49">
        <f t="shared" ref="W38:W65" si="39">IF(OR(G38="",H38=""),0,IF(DATE(2027,3,1)&gt;=DATE(YEAR(G38),MONTH(G38),1),H38/12,0))</f>
        <v>66666.666666666672</v>
      </c>
      <c r="X38" s="49">
        <f t="shared" ref="X38:X65" si="40">IF(OR(G38="",H38=""),0,IF(DATE(2027,4,1)&gt;=DATE(YEAR(G38),MONTH(G38),1),H38/12,0))</f>
        <v>66666.666666666672</v>
      </c>
      <c r="Y38" s="49">
        <f t="shared" ref="Y38:Y65" si="41">IF(OR(G38="",H38=""),0,IF(DATE(2027,5,1)&gt;=DATE(YEAR(G38),MONTH(G38),1),H38/12,0))</f>
        <v>66666.666666666672</v>
      </c>
      <c r="Z38" s="49">
        <f t="shared" ref="Z38:Z65" si="42">IF(OR(G38="",H38=""),0,IF(DATE(2027,6,1)&gt;=DATE(YEAR(G38),MONTH(G38),1),H38/12,0))</f>
        <v>66666.666666666672</v>
      </c>
      <c r="AA38" s="49">
        <f t="shared" ref="AA38:AA65" si="43">IF(OR(G38="",H38=""),0,IF(DATE(2027,7,1)&gt;=DATE(YEAR(G38),MONTH(G38),1),H38/12,0))</f>
        <v>66666.666666666672</v>
      </c>
      <c r="AB38" s="49">
        <f t="shared" ref="AB38:AB65" si="44">IF(OR(G38="",H38=""),0,IF(DATE(2027,8,1)&gt;=DATE(YEAR(G38),MONTH(G38),1),H38/12,0))</f>
        <v>66666.666666666672</v>
      </c>
      <c r="AC38" s="49">
        <f t="shared" ref="AC38:AC65" si="45">IF(OR(G38="",H38=""),0,IF(DATE(2027,9,1)&gt;=DATE(YEAR(G38),MONTH(G38),1),H38/12,0))</f>
        <v>66666.666666666672</v>
      </c>
      <c r="AD38" s="49">
        <f t="shared" ref="AD38:AD65" si="46">IF(OR(G38="",H38=""),0,IF(DATE(2027,10,1)&gt;=DATE(YEAR(G38),MONTH(G38),1),H38/12,0))</f>
        <v>66666.666666666672</v>
      </c>
      <c r="AE38" s="49">
        <f t="shared" ref="AE38:AE65" si="47">IF(OR(G38="",H38=""),0,IF(DATE(2027,11,1)&gt;=DATE(YEAR(G38),MONTH(G38),1),H38/12,0))</f>
        <v>66666.666666666672</v>
      </c>
      <c r="AF38" s="49">
        <f t="shared" ref="AF38:AF65" si="48">IF(OR(G38="",H38=""),0,IF(DATE(2027,12,1)&gt;=DATE(YEAR(G38),MONTH(G38),1),H38/12,0))</f>
        <v>66666.666666666672</v>
      </c>
      <c r="AG38" s="51">
        <f t="shared" ref="AG38:AG67" si="49">SUM(U38:AF38)</f>
        <v>799999.99999999988</v>
      </c>
      <c r="AH38" s="52">
        <f t="shared" ref="AH38:AH67" si="50">T38+AG38</f>
        <v>1333333.3333333333</v>
      </c>
      <c r="AI38" s="52">
        <f t="shared" ref="AI38:AI65" si="51">IF(OR(E38="",AH38=""),"",E38*AH38)</f>
        <v>799999.99999999988</v>
      </c>
      <c r="AJ38" s="53" t="str">
        <f>IF('Pipeline Data Input'!M35="","",'Pipeline Data Input'!M35)</f>
        <v>⚠ Source Exp CY (800,000) ≠ ACV/12 implied (533,333) | Opp: AL Nahdi/WH/RUH/2000PP | Region: Central</v>
      </c>
    </row>
    <row r="39" spans="1:36" ht="15" customHeight="1">
      <c r="A39" s="43">
        <v>34</v>
      </c>
      <c r="B39" s="44" t="str">
        <f>IF('Pipeline Data Input'!D36="","",'Pipeline Data Input'!D36)</f>
        <v>HMH</v>
      </c>
      <c r="C39" s="44" t="str">
        <f>IF('Pipeline Data Input'!E36="","",'Pipeline Data Input'!E36)</f>
        <v>Yazan Darwish</v>
      </c>
      <c r="D39" s="45" t="str">
        <f>IF('Pipeline Data Input'!J36="","",'Pipeline Data Input'!J36)</f>
        <v>Qualified</v>
      </c>
      <c r="E39" s="46">
        <f t="shared" si="26"/>
        <v>0.4</v>
      </c>
      <c r="F39" s="45" t="str">
        <f>IF('Pipeline Data Input'!B36="","",IFERROR(VLOOKUP('Pipeline Data Input'!B36,'Pipeline Data Input'!$A$66:$B$80,2,FALSE()),'Pipeline Data Input'!B36))</f>
        <v>Contract Logistics</v>
      </c>
      <c r="G39" s="47">
        <f>IF('Pipeline Data Input'!K36="","",'Pipeline Data Input'!K36)</f>
        <v>46174</v>
      </c>
      <c r="H39" s="48">
        <f>IF('Pipeline Data Input'!I36="",0,'Pipeline Data Input'!I36)</f>
        <v>850000</v>
      </c>
      <c r="I39" s="49">
        <f t="shared" si="27"/>
        <v>495833.33333333326</v>
      </c>
      <c r="J39" s="50">
        <f>IF('Pipeline Data Input'!F36="",0,'Pipeline Data Input'!F36)</f>
        <v>0</v>
      </c>
      <c r="K39" s="50">
        <f>IF('Pipeline Data Input'!G36="",0,'Pipeline Data Input'!G36)</f>
        <v>0</v>
      </c>
      <c r="L39" s="49">
        <f t="shared" si="28"/>
        <v>0</v>
      </c>
      <c r="M39" s="49">
        <f t="shared" si="29"/>
        <v>70833.333333333328</v>
      </c>
      <c r="N39" s="49">
        <f t="shared" si="30"/>
        <v>70833.333333333328</v>
      </c>
      <c r="O39" s="49">
        <f t="shared" si="31"/>
        <v>70833.333333333328</v>
      </c>
      <c r="P39" s="49">
        <f t="shared" si="32"/>
        <v>70833.333333333328</v>
      </c>
      <c r="Q39" s="49">
        <f t="shared" si="33"/>
        <v>70833.333333333328</v>
      </c>
      <c r="R39" s="49">
        <f t="shared" si="34"/>
        <v>70833.333333333328</v>
      </c>
      <c r="S39" s="49">
        <f t="shared" si="35"/>
        <v>70833.333333333328</v>
      </c>
      <c r="T39" s="51">
        <f t="shared" si="36"/>
        <v>495833.33333333326</v>
      </c>
      <c r="U39" s="49">
        <f t="shared" si="37"/>
        <v>70833.333333333328</v>
      </c>
      <c r="V39" s="49">
        <f t="shared" si="38"/>
        <v>70833.333333333328</v>
      </c>
      <c r="W39" s="49">
        <f t="shared" si="39"/>
        <v>70833.333333333328</v>
      </c>
      <c r="X39" s="49">
        <f t="shared" si="40"/>
        <v>70833.333333333328</v>
      </c>
      <c r="Y39" s="49">
        <f t="shared" si="41"/>
        <v>70833.333333333328</v>
      </c>
      <c r="Z39" s="49">
        <f t="shared" si="42"/>
        <v>70833.333333333328</v>
      </c>
      <c r="AA39" s="49">
        <f t="shared" si="43"/>
        <v>70833.333333333328</v>
      </c>
      <c r="AB39" s="49">
        <f t="shared" si="44"/>
        <v>70833.333333333328</v>
      </c>
      <c r="AC39" s="49">
        <f t="shared" si="45"/>
        <v>70833.333333333328</v>
      </c>
      <c r="AD39" s="49">
        <f t="shared" si="46"/>
        <v>70833.333333333328</v>
      </c>
      <c r="AE39" s="49">
        <f t="shared" si="47"/>
        <v>70833.333333333328</v>
      </c>
      <c r="AF39" s="49">
        <f t="shared" si="48"/>
        <v>70833.333333333328</v>
      </c>
      <c r="AG39" s="51">
        <f t="shared" si="49"/>
        <v>850000.00000000012</v>
      </c>
      <c r="AH39" s="52">
        <f t="shared" si="50"/>
        <v>1345833.3333333335</v>
      </c>
      <c r="AI39" s="52">
        <f t="shared" si="51"/>
        <v>538333.33333333337</v>
      </c>
      <c r="AJ39" s="53" t="str">
        <f>IF('Pipeline Data Input'!M36="","",'Pipeline Data Input'!M36)</f>
        <v>⚠ Source Exp CY (661,111) ≠ ACV/12 implied (495,833) | Opp: HMH/CL/DMM/Expansion | Region: East</v>
      </c>
    </row>
    <row r="40" spans="1:36" ht="15" customHeight="1">
      <c r="A40" s="43">
        <v>35</v>
      </c>
      <c r="B40" s="44" t="str">
        <f>IF('Pipeline Data Input'!D37="","",'Pipeline Data Input'!D37)</f>
        <v>Saudi National Bank</v>
      </c>
      <c r="C40" s="44" t="str">
        <f>IF('Pipeline Data Input'!E37="","",'Pipeline Data Input'!E37)</f>
        <v>Hano Oberholzer</v>
      </c>
      <c r="D40" s="45" t="str">
        <f>IF('Pipeline Data Input'!J37="","",'Pipeline Data Input'!J37)</f>
        <v>Proposal Sent</v>
      </c>
      <c r="E40" s="46">
        <f t="shared" si="26"/>
        <v>0.6</v>
      </c>
      <c r="F40" s="45" t="str">
        <f>IF('Pipeline Data Input'!B37="","",IFERROR(VLOOKUP('Pipeline Data Input'!B37,'Pipeline Data Input'!$A$66:$B$80,2,FALSE()),'Pipeline Data Input'!B37))</f>
        <v>Contract Logistics</v>
      </c>
      <c r="G40" s="47">
        <f>IF('Pipeline Data Input'!K37="","",'Pipeline Data Input'!K37)</f>
        <v>46157</v>
      </c>
      <c r="H40" s="48">
        <f>IF('Pipeline Data Input'!I37="",0,'Pipeline Data Input'!I37)</f>
        <v>1975386</v>
      </c>
      <c r="I40" s="49">
        <f t="shared" si="27"/>
        <v>1316924</v>
      </c>
      <c r="J40" s="50">
        <f>IF('Pipeline Data Input'!F37="",0,'Pipeline Data Input'!F37)</f>
        <v>0</v>
      </c>
      <c r="K40" s="50">
        <f>IF('Pipeline Data Input'!G37="",0,'Pipeline Data Input'!G37)</f>
        <v>0</v>
      </c>
      <c r="L40" s="49">
        <f t="shared" si="28"/>
        <v>164615.5</v>
      </c>
      <c r="M40" s="49">
        <f t="shared" si="29"/>
        <v>164615.5</v>
      </c>
      <c r="N40" s="49">
        <f t="shared" si="30"/>
        <v>164615.5</v>
      </c>
      <c r="O40" s="49">
        <f t="shared" si="31"/>
        <v>164615.5</v>
      </c>
      <c r="P40" s="49">
        <f t="shared" si="32"/>
        <v>164615.5</v>
      </c>
      <c r="Q40" s="49">
        <f t="shared" si="33"/>
        <v>164615.5</v>
      </c>
      <c r="R40" s="49">
        <f t="shared" si="34"/>
        <v>164615.5</v>
      </c>
      <c r="S40" s="49">
        <f t="shared" si="35"/>
        <v>164615.5</v>
      </c>
      <c r="T40" s="51">
        <f t="shared" si="36"/>
        <v>1316924</v>
      </c>
      <c r="U40" s="49">
        <f t="shared" si="37"/>
        <v>164615.5</v>
      </c>
      <c r="V40" s="49">
        <f t="shared" si="38"/>
        <v>164615.5</v>
      </c>
      <c r="W40" s="49">
        <f t="shared" si="39"/>
        <v>164615.5</v>
      </c>
      <c r="X40" s="49">
        <f t="shared" si="40"/>
        <v>164615.5</v>
      </c>
      <c r="Y40" s="49">
        <f t="shared" si="41"/>
        <v>164615.5</v>
      </c>
      <c r="Z40" s="49">
        <f t="shared" si="42"/>
        <v>164615.5</v>
      </c>
      <c r="AA40" s="49">
        <f t="shared" si="43"/>
        <v>164615.5</v>
      </c>
      <c r="AB40" s="49">
        <f t="shared" si="44"/>
        <v>164615.5</v>
      </c>
      <c r="AC40" s="49">
        <f t="shared" si="45"/>
        <v>164615.5</v>
      </c>
      <c r="AD40" s="49">
        <f t="shared" si="46"/>
        <v>164615.5</v>
      </c>
      <c r="AE40" s="49">
        <f t="shared" si="47"/>
        <v>164615.5</v>
      </c>
      <c r="AF40" s="49">
        <f t="shared" si="48"/>
        <v>164615.5</v>
      </c>
      <c r="AG40" s="51">
        <f t="shared" si="49"/>
        <v>1975386</v>
      </c>
      <c r="AH40" s="52">
        <f t="shared" si="50"/>
        <v>3292310</v>
      </c>
      <c r="AI40" s="52">
        <f t="shared" si="51"/>
        <v>1975386</v>
      </c>
      <c r="AJ40" s="53" t="str">
        <f>IF('Pipeline Data Input'!M37="","",'Pipeline Data Input'!M37)</f>
        <v>⚠ Source Exp CY (2,257,584) ≠ ACV/12 implied (1,316,924) | Opp: SNB / Asset Verification | Region: West</v>
      </c>
    </row>
    <row r="41" spans="1:36" ht="15" customHeight="1">
      <c r="A41" s="43">
        <v>36</v>
      </c>
      <c r="B41" s="44" t="str">
        <f>IF('Pipeline Data Input'!D38="","",'Pipeline Data Input'!D38)</f>
        <v>SAUDI CARBONATE COMPANY</v>
      </c>
      <c r="C41" s="44" t="str">
        <f>IF('Pipeline Data Input'!E38="","",'Pipeline Data Input'!E38)</f>
        <v>Yazan  Darwish</v>
      </c>
      <c r="D41" s="45" t="str">
        <f>IF('Pipeline Data Input'!J38="","",'Pipeline Data Input'!J38)</f>
        <v>Closed Won</v>
      </c>
      <c r="E41" s="46">
        <f t="shared" si="26"/>
        <v>1</v>
      </c>
      <c r="F41" s="45" t="str">
        <f>IF('Pipeline Data Input'!B38="","",IFERROR(VLOOKUP('Pipeline Data Input'!B38,'Pipeline Data Input'!$A$66:$B$80,2,FALSE()),'Pipeline Data Input'!B38))</f>
        <v>Dammam Port</v>
      </c>
      <c r="G41" s="47">
        <f>IF('Pipeline Data Input'!K38="","",'Pipeline Data Input'!K38)</f>
        <v>46143</v>
      </c>
      <c r="H41" s="48">
        <f>IF('Pipeline Data Input'!I38="",0,'Pipeline Data Input'!I38)</f>
        <v>0</v>
      </c>
      <c r="I41" s="49">
        <f t="shared" si="27"/>
        <v>0</v>
      </c>
      <c r="J41" s="50">
        <f>IF('Pipeline Data Input'!F38="",0,'Pipeline Data Input'!F38)</f>
        <v>300</v>
      </c>
      <c r="K41" s="50">
        <f>IF('Pipeline Data Input'!G38="",0,'Pipeline Data Input'!G38)</f>
        <v>0</v>
      </c>
      <c r="L41" s="49">
        <f t="shared" si="28"/>
        <v>0</v>
      </c>
      <c r="M41" s="49">
        <f t="shared" si="29"/>
        <v>0</v>
      </c>
      <c r="N41" s="49">
        <f t="shared" si="30"/>
        <v>0</v>
      </c>
      <c r="O41" s="49">
        <f t="shared" si="31"/>
        <v>0</v>
      </c>
      <c r="P41" s="49">
        <f t="shared" si="32"/>
        <v>0</v>
      </c>
      <c r="Q41" s="49">
        <f t="shared" si="33"/>
        <v>0</v>
      </c>
      <c r="R41" s="49">
        <f t="shared" si="34"/>
        <v>0</v>
      </c>
      <c r="S41" s="49">
        <f t="shared" si="35"/>
        <v>0</v>
      </c>
      <c r="T41" s="51">
        <f t="shared" si="36"/>
        <v>0</v>
      </c>
      <c r="U41" s="49">
        <f t="shared" si="37"/>
        <v>0</v>
      </c>
      <c r="V41" s="49">
        <f t="shared" si="38"/>
        <v>0</v>
      </c>
      <c r="W41" s="49">
        <f t="shared" si="39"/>
        <v>0</v>
      </c>
      <c r="X41" s="49">
        <f t="shared" si="40"/>
        <v>0</v>
      </c>
      <c r="Y41" s="49">
        <f t="shared" si="41"/>
        <v>0</v>
      </c>
      <c r="Z41" s="49">
        <f t="shared" si="42"/>
        <v>0</v>
      </c>
      <c r="AA41" s="49">
        <f t="shared" si="43"/>
        <v>0</v>
      </c>
      <c r="AB41" s="49">
        <f t="shared" si="44"/>
        <v>0</v>
      </c>
      <c r="AC41" s="49">
        <f t="shared" si="45"/>
        <v>0</v>
      </c>
      <c r="AD41" s="49">
        <f t="shared" si="46"/>
        <v>0</v>
      </c>
      <c r="AE41" s="49">
        <f t="shared" si="47"/>
        <v>0</v>
      </c>
      <c r="AF41" s="49">
        <f t="shared" si="48"/>
        <v>0</v>
      </c>
      <c r="AG41" s="51">
        <f t="shared" si="49"/>
        <v>0</v>
      </c>
      <c r="AH41" s="52">
        <f t="shared" si="50"/>
        <v>0</v>
      </c>
      <c r="AI41" s="52">
        <f t="shared" si="51"/>
        <v>0</v>
      </c>
      <c r="AJ41" s="53" t="str">
        <f>IF('Pipeline Data Input'!M38="","",'Pipeline Data Input'!M38)</f>
        <v>Closed Won — auto-pulled from Closed-won data Input row 3</v>
      </c>
    </row>
    <row r="42" spans="1:36" ht="15" customHeight="1">
      <c r="A42" s="43">
        <v>37</v>
      </c>
      <c r="B42" s="44" t="str">
        <f>IF('Pipeline Data Input'!D39="","",'Pipeline Data Input'!D39)</f>
        <v>MEBCo (Clarios)</v>
      </c>
      <c r="C42" s="44" t="str">
        <f>IF('Pipeline Data Input'!E39="","",'Pipeline Data Input'!E39)</f>
        <v>Yazan  Darwish</v>
      </c>
      <c r="D42" s="45" t="str">
        <f>IF('Pipeline Data Input'!J39="","",'Pipeline Data Input'!J39)</f>
        <v>Closed Won</v>
      </c>
      <c r="E42" s="46">
        <f t="shared" si="26"/>
        <v>1</v>
      </c>
      <c r="F42" s="45" t="str">
        <f>IF('Pipeline Data Input'!B39="","",IFERROR(VLOOKUP('Pipeline Data Input'!B39,'Pipeline Data Input'!$A$66:$B$80,2,FALSE()),'Pipeline Data Input'!B39))</f>
        <v>Dammam 2nd Ind -Tad WH</v>
      </c>
      <c r="G42" s="47">
        <f>IF('Pipeline Data Input'!K39="","",'Pipeline Data Input'!K39)</f>
        <v>46082</v>
      </c>
      <c r="H42" s="48">
        <f>IF('Pipeline Data Input'!I39="",0,'Pipeline Data Input'!I39)</f>
        <v>648000</v>
      </c>
      <c r="I42" s="49">
        <f t="shared" si="27"/>
        <v>432000</v>
      </c>
      <c r="J42" s="50">
        <f>IF('Pipeline Data Input'!F39="",0,'Pipeline Data Input'!F39)</f>
        <v>900</v>
      </c>
      <c r="K42" s="50">
        <f>IF('Pipeline Data Input'!G39="",0,'Pipeline Data Input'!G39)</f>
        <v>0</v>
      </c>
      <c r="L42" s="49">
        <f t="shared" si="28"/>
        <v>54000</v>
      </c>
      <c r="M42" s="49">
        <f t="shared" si="29"/>
        <v>54000</v>
      </c>
      <c r="N42" s="49">
        <f t="shared" si="30"/>
        <v>54000</v>
      </c>
      <c r="O42" s="49">
        <f t="shared" si="31"/>
        <v>54000</v>
      </c>
      <c r="P42" s="49">
        <f t="shared" si="32"/>
        <v>54000</v>
      </c>
      <c r="Q42" s="49">
        <f t="shared" si="33"/>
        <v>54000</v>
      </c>
      <c r="R42" s="49">
        <f t="shared" si="34"/>
        <v>54000</v>
      </c>
      <c r="S42" s="49">
        <f t="shared" si="35"/>
        <v>54000</v>
      </c>
      <c r="T42" s="51">
        <f t="shared" si="36"/>
        <v>432000</v>
      </c>
      <c r="U42" s="49">
        <f t="shared" si="37"/>
        <v>54000</v>
      </c>
      <c r="V42" s="49">
        <f t="shared" si="38"/>
        <v>54000</v>
      </c>
      <c r="W42" s="49">
        <f t="shared" si="39"/>
        <v>54000</v>
      </c>
      <c r="X42" s="49">
        <f t="shared" si="40"/>
        <v>54000</v>
      </c>
      <c r="Y42" s="49">
        <f t="shared" si="41"/>
        <v>54000</v>
      </c>
      <c r="Z42" s="49">
        <f t="shared" si="42"/>
        <v>54000</v>
      </c>
      <c r="AA42" s="49">
        <f t="shared" si="43"/>
        <v>54000</v>
      </c>
      <c r="AB42" s="49">
        <f t="shared" si="44"/>
        <v>54000</v>
      </c>
      <c r="AC42" s="49">
        <f t="shared" si="45"/>
        <v>54000</v>
      </c>
      <c r="AD42" s="49">
        <f t="shared" si="46"/>
        <v>54000</v>
      </c>
      <c r="AE42" s="49">
        <f t="shared" si="47"/>
        <v>54000</v>
      </c>
      <c r="AF42" s="49">
        <f t="shared" si="48"/>
        <v>54000</v>
      </c>
      <c r="AG42" s="51">
        <f t="shared" si="49"/>
        <v>648000</v>
      </c>
      <c r="AH42" s="52">
        <f t="shared" si="50"/>
        <v>1080000</v>
      </c>
      <c r="AI42" s="52">
        <f t="shared" si="51"/>
        <v>1080000</v>
      </c>
      <c r="AJ42" s="53" t="str">
        <f>IF('Pipeline Data Input'!M39="","",'Pipeline Data Input'!M39)</f>
        <v>Closed Won — auto-pulled from Closed-won data Input row 4</v>
      </c>
    </row>
    <row r="43" spans="1:36" ht="15" customHeight="1">
      <c r="A43" s="43">
        <v>38</v>
      </c>
      <c r="B43" s="44" t="str">
        <f>IF('Pipeline Data Input'!D40="","",'Pipeline Data Input'!D40)</f>
        <v>Rawabi Electric</v>
      </c>
      <c r="C43" s="44" t="str">
        <f>IF('Pipeline Data Input'!E40="","",'Pipeline Data Input'!E40)</f>
        <v>Yazan  Darwish</v>
      </c>
      <c r="D43" s="45" t="str">
        <f>IF('Pipeline Data Input'!J40="","",'Pipeline Data Input'!J40)</f>
        <v>Closed Won</v>
      </c>
      <c r="E43" s="46">
        <f t="shared" si="26"/>
        <v>1</v>
      </c>
      <c r="F43" s="45" t="str">
        <f>IF('Pipeline Data Input'!B40="","",IFERROR(VLOOKUP('Pipeline Data Input'!B40,'Pipeline Data Input'!$A$66:$B$80,2,FALSE()),'Pipeline Data Input'!B40))</f>
        <v>Dammam 2nd Ind -Tad WH</v>
      </c>
      <c r="G43" s="47">
        <f>IF('Pipeline Data Input'!K40="","",'Pipeline Data Input'!K40)</f>
        <v>46049</v>
      </c>
      <c r="H43" s="48">
        <f>IF('Pipeline Data Input'!I40="",0,'Pipeline Data Input'!I40)</f>
        <v>105600</v>
      </c>
      <c r="I43" s="49">
        <f t="shared" si="27"/>
        <v>70400</v>
      </c>
      <c r="J43" s="50">
        <f>IF('Pipeline Data Input'!F40="",0,'Pipeline Data Input'!F40)</f>
        <v>440</v>
      </c>
      <c r="K43" s="50">
        <f>IF('Pipeline Data Input'!G40="",0,'Pipeline Data Input'!G40)</f>
        <v>0</v>
      </c>
      <c r="L43" s="49">
        <f t="shared" si="28"/>
        <v>8800</v>
      </c>
      <c r="M43" s="49">
        <f t="shared" si="29"/>
        <v>8800</v>
      </c>
      <c r="N43" s="49">
        <f t="shared" si="30"/>
        <v>8800</v>
      </c>
      <c r="O43" s="49">
        <f t="shared" si="31"/>
        <v>8800</v>
      </c>
      <c r="P43" s="49">
        <f t="shared" si="32"/>
        <v>8800</v>
      </c>
      <c r="Q43" s="49">
        <f t="shared" si="33"/>
        <v>8800</v>
      </c>
      <c r="R43" s="49">
        <f t="shared" si="34"/>
        <v>8800</v>
      </c>
      <c r="S43" s="49">
        <f t="shared" si="35"/>
        <v>8800</v>
      </c>
      <c r="T43" s="51">
        <f t="shared" si="36"/>
        <v>70400</v>
      </c>
      <c r="U43" s="49">
        <f t="shared" si="37"/>
        <v>8800</v>
      </c>
      <c r="V43" s="49">
        <f t="shared" si="38"/>
        <v>8800</v>
      </c>
      <c r="W43" s="49">
        <f t="shared" si="39"/>
        <v>8800</v>
      </c>
      <c r="X43" s="49">
        <f t="shared" si="40"/>
        <v>8800</v>
      </c>
      <c r="Y43" s="49">
        <f t="shared" si="41"/>
        <v>8800</v>
      </c>
      <c r="Z43" s="49">
        <f t="shared" si="42"/>
        <v>8800</v>
      </c>
      <c r="AA43" s="49">
        <f t="shared" si="43"/>
        <v>8800</v>
      </c>
      <c r="AB43" s="49">
        <f t="shared" si="44"/>
        <v>8800</v>
      </c>
      <c r="AC43" s="49">
        <f t="shared" si="45"/>
        <v>8800</v>
      </c>
      <c r="AD43" s="49">
        <f t="shared" si="46"/>
        <v>8800</v>
      </c>
      <c r="AE43" s="49">
        <f t="shared" si="47"/>
        <v>8800</v>
      </c>
      <c r="AF43" s="49">
        <f t="shared" si="48"/>
        <v>8800</v>
      </c>
      <c r="AG43" s="51">
        <f t="shared" si="49"/>
        <v>105600</v>
      </c>
      <c r="AH43" s="52">
        <f t="shared" si="50"/>
        <v>176000</v>
      </c>
      <c r="AI43" s="52">
        <f t="shared" si="51"/>
        <v>176000</v>
      </c>
      <c r="AJ43" s="53" t="str">
        <f>IF('Pipeline Data Input'!M40="","",'Pipeline Data Input'!M40)</f>
        <v>Closed Won — auto-pulled from Closed-won data Input row 5</v>
      </c>
    </row>
    <row r="44" spans="1:36" ht="15" customHeight="1">
      <c r="A44" s="43">
        <v>39</v>
      </c>
      <c r="B44" s="44" t="str">
        <f>IF('Pipeline Data Input'!D41="","",'Pipeline Data Input'!D41)</f>
        <v>Dorfketal</v>
      </c>
      <c r="C44" s="44" t="str">
        <f>IF('Pipeline Data Input'!E41="","",'Pipeline Data Input'!E41)</f>
        <v>Yazan  Darwish</v>
      </c>
      <c r="D44" s="45" t="str">
        <f>IF('Pipeline Data Input'!J41="","",'Pipeline Data Input'!J41)</f>
        <v>Closed Won</v>
      </c>
      <c r="E44" s="46">
        <f t="shared" si="26"/>
        <v>1</v>
      </c>
      <c r="F44" s="45" t="str">
        <f>IF('Pipeline Data Input'!B41="","",IFERROR(VLOOKUP('Pipeline Data Input'!B41,'Pipeline Data Input'!$A$66:$B$80,2,FALSE()),'Pipeline Data Input'!B41))</f>
        <v>Dammam 2nd Ind -Tad WH</v>
      </c>
      <c r="G44" s="47">
        <f>IF('Pipeline Data Input'!K41="","",'Pipeline Data Input'!K41)</f>
        <v>46143</v>
      </c>
      <c r="H44" s="48">
        <f>IF('Pipeline Data Input'!I41="",0,'Pipeline Data Input'!I41)</f>
        <v>78000</v>
      </c>
      <c r="I44" s="49">
        <f t="shared" si="27"/>
        <v>52000</v>
      </c>
      <c r="J44" s="50">
        <f>IF('Pipeline Data Input'!F41="",0,'Pipeline Data Input'!F41)</f>
        <v>200</v>
      </c>
      <c r="K44" s="50">
        <f>IF('Pipeline Data Input'!G41="",0,'Pipeline Data Input'!G41)</f>
        <v>0</v>
      </c>
      <c r="L44" s="49">
        <f t="shared" si="28"/>
        <v>6500</v>
      </c>
      <c r="M44" s="49">
        <f t="shared" si="29"/>
        <v>6500</v>
      </c>
      <c r="N44" s="49">
        <f t="shared" si="30"/>
        <v>6500</v>
      </c>
      <c r="O44" s="49">
        <f t="shared" si="31"/>
        <v>6500</v>
      </c>
      <c r="P44" s="49">
        <f t="shared" si="32"/>
        <v>6500</v>
      </c>
      <c r="Q44" s="49">
        <f t="shared" si="33"/>
        <v>6500</v>
      </c>
      <c r="R44" s="49">
        <f t="shared" si="34"/>
        <v>6500</v>
      </c>
      <c r="S44" s="49">
        <f t="shared" si="35"/>
        <v>6500</v>
      </c>
      <c r="T44" s="51">
        <f t="shared" si="36"/>
        <v>52000</v>
      </c>
      <c r="U44" s="49">
        <f t="shared" si="37"/>
        <v>6500</v>
      </c>
      <c r="V44" s="49">
        <f t="shared" si="38"/>
        <v>6500</v>
      </c>
      <c r="W44" s="49">
        <f t="shared" si="39"/>
        <v>6500</v>
      </c>
      <c r="X44" s="49">
        <f t="shared" si="40"/>
        <v>6500</v>
      </c>
      <c r="Y44" s="49">
        <f t="shared" si="41"/>
        <v>6500</v>
      </c>
      <c r="Z44" s="49">
        <f t="shared" si="42"/>
        <v>6500</v>
      </c>
      <c r="AA44" s="49">
        <f t="shared" si="43"/>
        <v>6500</v>
      </c>
      <c r="AB44" s="49">
        <f t="shared" si="44"/>
        <v>6500</v>
      </c>
      <c r="AC44" s="49">
        <f t="shared" si="45"/>
        <v>6500</v>
      </c>
      <c r="AD44" s="49">
        <f t="shared" si="46"/>
        <v>6500</v>
      </c>
      <c r="AE44" s="49">
        <f t="shared" si="47"/>
        <v>6500</v>
      </c>
      <c r="AF44" s="49">
        <f t="shared" si="48"/>
        <v>6500</v>
      </c>
      <c r="AG44" s="51">
        <f t="shared" si="49"/>
        <v>78000</v>
      </c>
      <c r="AH44" s="52">
        <f t="shared" si="50"/>
        <v>130000</v>
      </c>
      <c r="AI44" s="52">
        <f t="shared" si="51"/>
        <v>130000</v>
      </c>
      <c r="AJ44" s="53" t="str">
        <f>IF('Pipeline Data Input'!M41="","",'Pipeline Data Input'!M41)</f>
        <v>Closed Won — auto-pulled from Closed-won data Input row 6</v>
      </c>
    </row>
    <row r="45" spans="1:36" ht="15" customHeight="1">
      <c r="A45" s="43">
        <v>40</v>
      </c>
      <c r="B45" s="44" t="str">
        <f>IF('Pipeline Data Input'!D42="","",'Pipeline Data Input'!D42)</f>
        <v>Rising Future</v>
      </c>
      <c r="C45" s="44" t="str">
        <f>IF('Pipeline Data Input'!E42="","",'Pipeline Data Input'!E42)</f>
        <v>Yazan  Darwish</v>
      </c>
      <c r="D45" s="45" t="str">
        <f>IF('Pipeline Data Input'!J42="","",'Pipeline Data Input'!J42)</f>
        <v>Closed Won</v>
      </c>
      <c r="E45" s="46">
        <f t="shared" si="26"/>
        <v>1</v>
      </c>
      <c r="F45" s="45" t="str">
        <f>IF('Pipeline Data Input'!B42="","",IFERROR(VLOOKUP('Pipeline Data Input'!B42,'Pipeline Data Input'!$A$66:$B$80,2,FALSE()),'Pipeline Data Input'!B42))</f>
        <v>Dammam 2nd Ind -Tad WH</v>
      </c>
      <c r="G45" s="47">
        <f>IF('Pipeline Data Input'!K42="","",'Pipeline Data Input'!K42)</f>
        <v>46082</v>
      </c>
      <c r="H45" s="48">
        <f>IF('Pipeline Data Input'!I42="",0,'Pipeline Data Input'!I42)</f>
        <v>30000</v>
      </c>
      <c r="I45" s="49">
        <f t="shared" si="27"/>
        <v>20000</v>
      </c>
      <c r="J45" s="50">
        <f>IF('Pipeline Data Input'!F42="",0,'Pipeline Data Input'!F42)</f>
        <v>50</v>
      </c>
      <c r="K45" s="50">
        <f>IF('Pipeline Data Input'!G42="",0,'Pipeline Data Input'!G42)</f>
        <v>0</v>
      </c>
      <c r="L45" s="49">
        <f t="shared" si="28"/>
        <v>2500</v>
      </c>
      <c r="M45" s="49">
        <f t="shared" si="29"/>
        <v>2500</v>
      </c>
      <c r="N45" s="49">
        <f t="shared" si="30"/>
        <v>2500</v>
      </c>
      <c r="O45" s="49">
        <f t="shared" si="31"/>
        <v>2500</v>
      </c>
      <c r="P45" s="49">
        <f t="shared" si="32"/>
        <v>2500</v>
      </c>
      <c r="Q45" s="49">
        <f t="shared" si="33"/>
        <v>2500</v>
      </c>
      <c r="R45" s="49">
        <f t="shared" si="34"/>
        <v>2500</v>
      </c>
      <c r="S45" s="49">
        <f t="shared" si="35"/>
        <v>2500</v>
      </c>
      <c r="T45" s="51">
        <f t="shared" si="36"/>
        <v>20000</v>
      </c>
      <c r="U45" s="49">
        <f t="shared" si="37"/>
        <v>2500</v>
      </c>
      <c r="V45" s="49">
        <f t="shared" si="38"/>
        <v>2500</v>
      </c>
      <c r="W45" s="49">
        <f t="shared" si="39"/>
        <v>2500</v>
      </c>
      <c r="X45" s="49">
        <f t="shared" si="40"/>
        <v>2500</v>
      </c>
      <c r="Y45" s="49">
        <f t="shared" si="41"/>
        <v>2500</v>
      </c>
      <c r="Z45" s="49">
        <f t="shared" si="42"/>
        <v>2500</v>
      </c>
      <c r="AA45" s="49">
        <f t="shared" si="43"/>
        <v>2500</v>
      </c>
      <c r="AB45" s="49">
        <f t="shared" si="44"/>
        <v>2500</v>
      </c>
      <c r="AC45" s="49">
        <f t="shared" si="45"/>
        <v>2500</v>
      </c>
      <c r="AD45" s="49">
        <f t="shared" si="46"/>
        <v>2500</v>
      </c>
      <c r="AE45" s="49">
        <f t="shared" si="47"/>
        <v>2500</v>
      </c>
      <c r="AF45" s="49">
        <f t="shared" si="48"/>
        <v>2500</v>
      </c>
      <c r="AG45" s="51">
        <f t="shared" si="49"/>
        <v>30000</v>
      </c>
      <c r="AH45" s="52">
        <f t="shared" si="50"/>
        <v>50000</v>
      </c>
      <c r="AI45" s="52">
        <f t="shared" si="51"/>
        <v>50000</v>
      </c>
      <c r="AJ45" s="53" t="str">
        <f>IF('Pipeline Data Input'!M42="","",'Pipeline Data Input'!M42)</f>
        <v>Closed Won — auto-pulled from Closed-won data Input row 7</v>
      </c>
    </row>
    <row r="46" spans="1:36" ht="15" customHeight="1">
      <c r="A46" s="43">
        <v>41</v>
      </c>
      <c r="B46" s="44" t="str">
        <f>IF('Pipeline Data Input'!D43="","",'Pipeline Data Input'!D43)</f>
        <v>Maaden</v>
      </c>
      <c r="C46" s="44" t="str">
        <f>IF('Pipeline Data Input'!E43="","",'Pipeline Data Input'!E43)</f>
        <v>Yazan  Darwish</v>
      </c>
      <c r="D46" s="45" t="str">
        <f>IF('Pipeline Data Input'!J43="","",'Pipeline Data Input'!J43)</f>
        <v>Closed Won</v>
      </c>
      <c r="E46" s="46">
        <f t="shared" si="26"/>
        <v>1</v>
      </c>
      <c r="F46" s="45" t="str">
        <f>IF('Pipeline Data Input'!B43="","",IFERROR(VLOOKUP('Pipeline Data Input'!B43,'Pipeline Data Input'!$A$66:$B$80,2,FALSE()),'Pipeline Data Input'!B43))</f>
        <v>Jubail 1</v>
      </c>
      <c r="G46" s="47">
        <f>IF('Pipeline Data Input'!K43="","",'Pipeline Data Input'!K43)</f>
        <v>46054</v>
      </c>
      <c r="H46" s="48">
        <f>IF('Pipeline Data Input'!I43="",0,'Pipeline Data Input'!I43)</f>
        <v>960000</v>
      </c>
      <c r="I46" s="49">
        <f t="shared" si="27"/>
        <v>640000</v>
      </c>
      <c r="J46" s="50">
        <f>IF('Pipeline Data Input'!F43="",0,'Pipeline Data Input'!F43)</f>
        <v>1200</v>
      </c>
      <c r="K46" s="50">
        <f>IF('Pipeline Data Input'!G43="",0,'Pipeline Data Input'!G43)</f>
        <v>0</v>
      </c>
      <c r="L46" s="49">
        <f t="shared" si="28"/>
        <v>80000</v>
      </c>
      <c r="M46" s="49">
        <f t="shared" si="29"/>
        <v>80000</v>
      </c>
      <c r="N46" s="49">
        <f t="shared" si="30"/>
        <v>80000</v>
      </c>
      <c r="O46" s="49">
        <f t="shared" si="31"/>
        <v>80000</v>
      </c>
      <c r="P46" s="49">
        <f t="shared" si="32"/>
        <v>80000</v>
      </c>
      <c r="Q46" s="49">
        <f t="shared" si="33"/>
        <v>80000</v>
      </c>
      <c r="R46" s="49">
        <f t="shared" si="34"/>
        <v>80000</v>
      </c>
      <c r="S46" s="49">
        <f t="shared" si="35"/>
        <v>80000</v>
      </c>
      <c r="T46" s="51">
        <f t="shared" si="36"/>
        <v>640000</v>
      </c>
      <c r="U46" s="49">
        <f t="shared" si="37"/>
        <v>80000</v>
      </c>
      <c r="V46" s="49">
        <f t="shared" si="38"/>
        <v>80000</v>
      </c>
      <c r="W46" s="49">
        <f t="shared" si="39"/>
        <v>80000</v>
      </c>
      <c r="X46" s="49">
        <f t="shared" si="40"/>
        <v>80000</v>
      </c>
      <c r="Y46" s="49">
        <f t="shared" si="41"/>
        <v>80000</v>
      </c>
      <c r="Z46" s="49">
        <f t="shared" si="42"/>
        <v>80000</v>
      </c>
      <c r="AA46" s="49">
        <f t="shared" si="43"/>
        <v>80000</v>
      </c>
      <c r="AB46" s="49">
        <f t="shared" si="44"/>
        <v>80000</v>
      </c>
      <c r="AC46" s="49">
        <f t="shared" si="45"/>
        <v>80000</v>
      </c>
      <c r="AD46" s="49">
        <f t="shared" si="46"/>
        <v>80000</v>
      </c>
      <c r="AE46" s="49">
        <f t="shared" si="47"/>
        <v>80000</v>
      </c>
      <c r="AF46" s="49">
        <f t="shared" si="48"/>
        <v>80000</v>
      </c>
      <c r="AG46" s="51">
        <f t="shared" si="49"/>
        <v>960000</v>
      </c>
      <c r="AH46" s="52">
        <f t="shared" si="50"/>
        <v>1600000</v>
      </c>
      <c r="AI46" s="52">
        <f t="shared" si="51"/>
        <v>1600000</v>
      </c>
      <c r="AJ46" s="53" t="str">
        <f>IF('Pipeline Data Input'!M43="","",'Pipeline Data Input'!M43)</f>
        <v>Closed Won — auto-pulled from Closed-won data Input row 8</v>
      </c>
    </row>
    <row r="47" spans="1:36" ht="15" customHeight="1">
      <c r="A47" s="43">
        <v>42</v>
      </c>
      <c r="B47" s="44" t="str">
        <f>IF('Pipeline Data Input'!D44="","",'Pipeline Data Input'!D44)</f>
        <v>Al Nahdi</v>
      </c>
      <c r="C47" s="44" t="str">
        <f>IF('Pipeline Data Input'!E44="","",'Pipeline Data Input'!E44)</f>
        <v>Simon Reah</v>
      </c>
      <c r="D47" s="45" t="str">
        <f>IF('Pipeline Data Input'!J44="","",'Pipeline Data Input'!J44)</f>
        <v>Closed Won</v>
      </c>
      <c r="E47" s="46">
        <f t="shared" si="26"/>
        <v>1</v>
      </c>
      <c r="F47" s="45" t="str">
        <f>IF('Pipeline Data Input'!B44="","",IFERROR(VLOOKUP('Pipeline Data Input'!B44,'Pipeline Data Input'!$A$66:$B$80,2,FALSE()),'Pipeline Data Input'!B44))</f>
        <v>Jeddah Modon 3B</v>
      </c>
      <c r="G47" s="47">
        <f>IF('Pipeline Data Input'!K44="","",'Pipeline Data Input'!K44)</f>
        <v>46113</v>
      </c>
      <c r="H47" s="48">
        <f>IF('Pipeline Data Input'!I44="",0,'Pipeline Data Input'!I44)</f>
        <v>756000</v>
      </c>
      <c r="I47" s="49">
        <f t="shared" si="27"/>
        <v>504000</v>
      </c>
      <c r="J47" s="50">
        <f>IF('Pipeline Data Input'!F44="",0,'Pipeline Data Input'!F44)</f>
        <v>4000</v>
      </c>
      <c r="K47" s="50">
        <f>IF('Pipeline Data Input'!G44="",0,'Pipeline Data Input'!G44)</f>
        <v>0</v>
      </c>
      <c r="L47" s="49">
        <f t="shared" si="28"/>
        <v>63000</v>
      </c>
      <c r="M47" s="49">
        <f t="shared" si="29"/>
        <v>63000</v>
      </c>
      <c r="N47" s="49">
        <f t="shared" si="30"/>
        <v>63000</v>
      </c>
      <c r="O47" s="49">
        <f t="shared" si="31"/>
        <v>63000</v>
      </c>
      <c r="P47" s="49">
        <f t="shared" si="32"/>
        <v>63000</v>
      </c>
      <c r="Q47" s="49">
        <f t="shared" si="33"/>
        <v>63000</v>
      </c>
      <c r="R47" s="49">
        <f t="shared" si="34"/>
        <v>63000</v>
      </c>
      <c r="S47" s="49">
        <f t="shared" si="35"/>
        <v>63000</v>
      </c>
      <c r="T47" s="51">
        <f t="shared" si="36"/>
        <v>504000</v>
      </c>
      <c r="U47" s="49">
        <f t="shared" si="37"/>
        <v>63000</v>
      </c>
      <c r="V47" s="49">
        <f t="shared" si="38"/>
        <v>63000</v>
      </c>
      <c r="W47" s="49">
        <f t="shared" si="39"/>
        <v>63000</v>
      </c>
      <c r="X47" s="49">
        <f t="shared" si="40"/>
        <v>63000</v>
      </c>
      <c r="Y47" s="49">
        <f t="shared" si="41"/>
        <v>63000</v>
      </c>
      <c r="Z47" s="49">
        <f t="shared" si="42"/>
        <v>63000</v>
      </c>
      <c r="AA47" s="49">
        <f t="shared" si="43"/>
        <v>63000</v>
      </c>
      <c r="AB47" s="49">
        <f t="shared" si="44"/>
        <v>63000</v>
      </c>
      <c r="AC47" s="49">
        <f t="shared" si="45"/>
        <v>63000</v>
      </c>
      <c r="AD47" s="49">
        <f t="shared" si="46"/>
        <v>63000</v>
      </c>
      <c r="AE47" s="49">
        <f t="shared" si="47"/>
        <v>63000</v>
      </c>
      <c r="AF47" s="49">
        <f t="shared" si="48"/>
        <v>63000</v>
      </c>
      <c r="AG47" s="51">
        <f t="shared" si="49"/>
        <v>756000</v>
      </c>
      <c r="AH47" s="52">
        <f t="shared" si="50"/>
        <v>1260000</v>
      </c>
      <c r="AI47" s="52">
        <f t="shared" si="51"/>
        <v>1260000</v>
      </c>
      <c r="AJ47" s="53" t="str">
        <f>IF('Pipeline Data Input'!M44="","",'Pipeline Data Input'!M44)</f>
        <v>Closed Won — auto-pulled from Closed-won data Input row 9</v>
      </c>
    </row>
    <row r="48" spans="1:36" ht="15" customHeight="1">
      <c r="A48" s="43">
        <v>43</v>
      </c>
      <c r="B48" s="44" t="str">
        <f>IF('Pipeline Data Input'!D45="","",'Pipeline Data Input'!D45)</f>
        <v>Sharbatly Fruit Company</v>
      </c>
      <c r="C48" s="44" t="str">
        <f>IF('Pipeline Data Input'!E45="","",'Pipeline Data Input'!E45)</f>
        <v>Simon Reah</v>
      </c>
      <c r="D48" s="45" t="str">
        <f>IF('Pipeline Data Input'!J45="","",'Pipeline Data Input'!J45)</f>
        <v>Closed Won</v>
      </c>
      <c r="E48" s="46">
        <f t="shared" si="26"/>
        <v>1</v>
      </c>
      <c r="F48" s="45" t="str">
        <f>IF('Pipeline Data Input'!B45="","",IFERROR(VLOOKUP('Pipeline Data Input'!B45,'Pipeline Data Input'!$A$66:$B$80,2,FALSE()),'Pipeline Data Input'!B45))</f>
        <v>Jeddah Modon 3B</v>
      </c>
      <c r="G48" s="47">
        <f>IF('Pipeline Data Input'!K45="","",'Pipeline Data Input'!K45)</f>
        <v>46127</v>
      </c>
      <c r="H48" s="48">
        <f>IF('Pipeline Data Input'!I45="",0,'Pipeline Data Input'!I45)</f>
        <v>684000</v>
      </c>
      <c r="I48" s="49">
        <f t="shared" si="27"/>
        <v>456000</v>
      </c>
      <c r="J48" s="50">
        <f>IF('Pipeline Data Input'!F45="",0,'Pipeline Data Input'!F45)</f>
        <v>1500</v>
      </c>
      <c r="K48" s="50">
        <f>IF('Pipeline Data Input'!G45="",0,'Pipeline Data Input'!G45)</f>
        <v>0</v>
      </c>
      <c r="L48" s="49">
        <f t="shared" si="28"/>
        <v>57000</v>
      </c>
      <c r="M48" s="49">
        <f t="shared" si="29"/>
        <v>57000</v>
      </c>
      <c r="N48" s="49">
        <f t="shared" si="30"/>
        <v>57000</v>
      </c>
      <c r="O48" s="49">
        <f t="shared" si="31"/>
        <v>57000</v>
      </c>
      <c r="P48" s="49">
        <f t="shared" si="32"/>
        <v>57000</v>
      </c>
      <c r="Q48" s="49">
        <f t="shared" si="33"/>
        <v>57000</v>
      </c>
      <c r="R48" s="49">
        <f t="shared" si="34"/>
        <v>57000</v>
      </c>
      <c r="S48" s="49">
        <f t="shared" si="35"/>
        <v>57000</v>
      </c>
      <c r="T48" s="51">
        <f t="shared" si="36"/>
        <v>456000</v>
      </c>
      <c r="U48" s="49">
        <f t="shared" si="37"/>
        <v>57000</v>
      </c>
      <c r="V48" s="49">
        <f t="shared" si="38"/>
        <v>57000</v>
      </c>
      <c r="W48" s="49">
        <f t="shared" si="39"/>
        <v>57000</v>
      </c>
      <c r="X48" s="49">
        <f t="shared" si="40"/>
        <v>57000</v>
      </c>
      <c r="Y48" s="49">
        <f t="shared" si="41"/>
        <v>57000</v>
      </c>
      <c r="Z48" s="49">
        <f t="shared" si="42"/>
        <v>57000</v>
      </c>
      <c r="AA48" s="49">
        <f t="shared" si="43"/>
        <v>57000</v>
      </c>
      <c r="AB48" s="49">
        <f t="shared" si="44"/>
        <v>57000</v>
      </c>
      <c r="AC48" s="49">
        <f t="shared" si="45"/>
        <v>57000</v>
      </c>
      <c r="AD48" s="49">
        <f t="shared" si="46"/>
        <v>57000</v>
      </c>
      <c r="AE48" s="49">
        <f t="shared" si="47"/>
        <v>57000</v>
      </c>
      <c r="AF48" s="49">
        <f t="shared" si="48"/>
        <v>57000</v>
      </c>
      <c r="AG48" s="51">
        <f t="shared" si="49"/>
        <v>684000</v>
      </c>
      <c r="AH48" s="52">
        <f t="shared" si="50"/>
        <v>1140000</v>
      </c>
      <c r="AI48" s="52">
        <f t="shared" si="51"/>
        <v>1140000</v>
      </c>
      <c r="AJ48" s="53" t="str">
        <f>IF('Pipeline Data Input'!M45="","",'Pipeline Data Input'!M45)</f>
        <v>Closed Won — auto-pulled from Closed-won data Input row 10</v>
      </c>
    </row>
    <row r="49" spans="1:36" ht="15" customHeight="1">
      <c r="A49" s="43">
        <v>44</v>
      </c>
      <c r="B49" s="44" t="str">
        <f>IF('Pipeline Data Input'!D46="","",'Pipeline Data Input'!D46)</f>
        <v>PSA-BDP</v>
      </c>
      <c r="C49" s="44" t="str">
        <f>IF('Pipeline Data Input'!E46="","",'Pipeline Data Input'!E46)</f>
        <v>Amin AlHalabi</v>
      </c>
      <c r="D49" s="45" t="str">
        <f>IF('Pipeline Data Input'!J46="","",'Pipeline Data Input'!J46)</f>
        <v>Closed Won</v>
      </c>
      <c r="E49" s="46">
        <f t="shared" si="26"/>
        <v>1</v>
      </c>
      <c r="F49" s="45" t="str">
        <f>IF('Pipeline Data Input'!B46="","",IFERROR(VLOOKUP('Pipeline Data Input'!B46,'Pipeline Data Input'!$A$66:$B$80,2,FALSE()),'Pipeline Data Input'!B46))</f>
        <v>Subcontractor</v>
      </c>
      <c r="G49" s="47">
        <f>IF('Pipeline Data Input'!K46="","",'Pipeline Data Input'!K46)</f>
        <v>46067</v>
      </c>
      <c r="H49" s="48">
        <f>IF('Pipeline Data Input'!I46="",0,'Pipeline Data Input'!I46)</f>
        <v>1800000</v>
      </c>
      <c r="I49" s="49">
        <f t="shared" si="27"/>
        <v>1200000</v>
      </c>
      <c r="J49" s="50">
        <f>IF('Pipeline Data Input'!F46="",0,'Pipeline Data Input'!F46)</f>
        <v>2500</v>
      </c>
      <c r="K49" s="50">
        <f>IF('Pipeline Data Input'!G46="",0,'Pipeline Data Input'!G46)</f>
        <v>0</v>
      </c>
      <c r="L49" s="49">
        <f t="shared" si="28"/>
        <v>150000</v>
      </c>
      <c r="M49" s="49">
        <f t="shared" si="29"/>
        <v>150000</v>
      </c>
      <c r="N49" s="49">
        <f t="shared" si="30"/>
        <v>150000</v>
      </c>
      <c r="O49" s="49">
        <f t="shared" si="31"/>
        <v>150000</v>
      </c>
      <c r="P49" s="49">
        <f t="shared" si="32"/>
        <v>150000</v>
      </c>
      <c r="Q49" s="49">
        <f t="shared" si="33"/>
        <v>150000</v>
      </c>
      <c r="R49" s="49">
        <f t="shared" si="34"/>
        <v>150000</v>
      </c>
      <c r="S49" s="49">
        <f t="shared" si="35"/>
        <v>150000</v>
      </c>
      <c r="T49" s="51">
        <f t="shared" si="36"/>
        <v>1200000</v>
      </c>
      <c r="U49" s="49">
        <f t="shared" si="37"/>
        <v>150000</v>
      </c>
      <c r="V49" s="49">
        <f t="shared" si="38"/>
        <v>150000</v>
      </c>
      <c r="W49" s="49">
        <f t="shared" si="39"/>
        <v>150000</v>
      </c>
      <c r="X49" s="49">
        <f t="shared" si="40"/>
        <v>150000</v>
      </c>
      <c r="Y49" s="49">
        <f t="shared" si="41"/>
        <v>150000</v>
      </c>
      <c r="Z49" s="49">
        <f t="shared" si="42"/>
        <v>150000</v>
      </c>
      <c r="AA49" s="49">
        <f t="shared" si="43"/>
        <v>150000</v>
      </c>
      <c r="AB49" s="49">
        <f t="shared" si="44"/>
        <v>150000</v>
      </c>
      <c r="AC49" s="49">
        <f t="shared" si="45"/>
        <v>150000</v>
      </c>
      <c r="AD49" s="49">
        <f t="shared" si="46"/>
        <v>150000</v>
      </c>
      <c r="AE49" s="49">
        <f t="shared" si="47"/>
        <v>150000</v>
      </c>
      <c r="AF49" s="49">
        <f t="shared" si="48"/>
        <v>150000</v>
      </c>
      <c r="AG49" s="51">
        <f t="shared" si="49"/>
        <v>1800000</v>
      </c>
      <c r="AH49" s="52">
        <f t="shared" si="50"/>
        <v>3000000</v>
      </c>
      <c r="AI49" s="52">
        <f t="shared" si="51"/>
        <v>3000000</v>
      </c>
      <c r="AJ49" s="53" t="str">
        <f>IF('Pipeline Data Input'!M46="","",'Pipeline Data Input'!M46)</f>
        <v>Closed Won — auto-pulled from Closed-won data Input row 11</v>
      </c>
    </row>
    <row r="50" spans="1:36" ht="15" customHeight="1">
      <c r="A50" s="43">
        <v>45</v>
      </c>
      <c r="B50" s="44" t="str">
        <f>IF('Pipeline Data Input'!D47="","",'Pipeline Data Input'!D47)</f>
        <v>Tasnee</v>
      </c>
      <c r="C50" s="44" t="str">
        <f>IF('Pipeline Data Input'!E47="","",'Pipeline Data Input'!E47)</f>
        <v>Yazan  Darwish</v>
      </c>
      <c r="D50" s="45" t="str">
        <f>IF('Pipeline Data Input'!J47="","",'Pipeline Data Input'!J47)</f>
        <v>Closed Won</v>
      </c>
      <c r="E50" s="46">
        <f t="shared" si="26"/>
        <v>1</v>
      </c>
      <c r="F50" s="45" t="str">
        <f>IF('Pipeline Data Input'!B47="","",IFERROR(VLOOKUP('Pipeline Data Input'!B47,'Pipeline Data Input'!$A$66:$B$80,2,FALSE()),'Pipeline Data Input'!B47))</f>
        <v>Contract Logistics</v>
      </c>
      <c r="G50" s="47">
        <f>IF('Pipeline Data Input'!K47="","",'Pipeline Data Input'!K47)</f>
        <v>46143</v>
      </c>
      <c r="H50" s="48">
        <f>IF('Pipeline Data Input'!I47="",0,'Pipeline Data Input'!I47)</f>
        <v>725000</v>
      </c>
      <c r="I50" s="49">
        <f t="shared" si="27"/>
        <v>483333.33333333337</v>
      </c>
      <c r="J50" s="50">
        <f>IF('Pipeline Data Input'!F47="",0,'Pipeline Data Input'!F47)</f>
        <v>0</v>
      </c>
      <c r="K50" s="50">
        <f>IF('Pipeline Data Input'!G47="",0,'Pipeline Data Input'!G47)</f>
        <v>0</v>
      </c>
      <c r="L50" s="49">
        <f t="shared" si="28"/>
        <v>60416.666666666664</v>
      </c>
      <c r="M50" s="49">
        <f t="shared" si="29"/>
        <v>60416.666666666664</v>
      </c>
      <c r="N50" s="49">
        <f t="shared" si="30"/>
        <v>60416.666666666664</v>
      </c>
      <c r="O50" s="49">
        <f t="shared" si="31"/>
        <v>60416.666666666664</v>
      </c>
      <c r="P50" s="49">
        <f t="shared" si="32"/>
        <v>60416.666666666664</v>
      </c>
      <c r="Q50" s="49">
        <f t="shared" si="33"/>
        <v>60416.666666666664</v>
      </c>
      <c r="R50" s="49">
        <f t="shared" si="34"/>
        <v>60416.666666666664</v>
      </c>
      <c r="S50" s="49">
        <f t="shared" si="35"/>
        <v>60416.666666666664</v>
      </c>
      <c r="T50" s="51">
        <f t="shared" si="36"/>
        <v>483333.33333333337</v>
      </c>
      <c r="U50" s="49">
        <f t="shared" si="37"/>
        <v>60416.666666666664</v>
      </c>
      <c r="V50" s="49">
        <f t="shared" si="38"/>
        <v>60416.666666666664</v>
      </c>
      <c r="W50" s="49">
        <f t="shared" si="39"/>
        <v>60416.666666666664</v>
      </c>
      <c r="X50" s="49">
        <f t="shared" si="40"/>
        <v>60416.666666666664</v>
      </c>
      <c r="Y50" s="49">
        <f t="shared" si="41"/>
        <v>60416.666666666664</v>
      </c>
      <c r="Z50" s="49">
        <f t="shared" si="42"/>
        <v>60416.666666666664</v>
      </c>
      <c r="AA50" s="49">
        <f t="shared" si="43"/>
        <v>60416.666666666664</v>
      </c>
      <c r="AB50" s="49">
        <f t="shared" si="44"/>
        <v>60416.666666666664</v>
      </c>
      <c r="AC50" s="49">
        <f t="shared" si="45"/>
        <v>60416.666666666664</v>
      </c>
      <c r="AD50" s="49">
        <f t="shared" si="46"/>
        <v>60416.666666666664</v>
      </c>
      <c r="AE50" s="49">
        <f t="shared" si="47"/>
        <v>60416.666666666664</v>
      </c>
      <c r="AF50" s="49">
        <f t="shared" si="48"/>
        <v>60416.666666666664</v>
      </c>
      <c r="AG50" s="51">
        <f t="shared" si="49"/>
        <v>724999.99999999988</v>
      </c>
      <c r="AH50" s="52">
        <f t="shared" si="50"/>
        <v>1208333.3333333333</v>
      </c>
      <c r="AI50" s="52">
        <f t="shared" si="51"/>
        <v>1208333.3333333333</v>
      </c>
      <c r="AJ50" s="53" t="str">
        <f>IF('Pipeline Data Input'!M47="","",'Pipeline Data Input'!M47)</f>
        <v>Closed Won — auto-pulled from Closed-won data Input row 12</v>
      </c>
    </row>
    <row r="51" spans="1:36" ht="15" customHeight="1">
      <c r="A51" s="43">
        <v>46</v>
      </c>
      <c r="B51" s="44" t="str">
        <f>IF('Pipeline Data Input'!D48="","",'Pipeline Data Input'!D48)</f>
        <v/>
      </c>
      <c r="C51" s="44" t="str">
        <f>IF('Pipeline Data Input'!E48="","",'Pipeline Data Input'!E48)</f>
        <v/>
      </c>
      <c r="D51" s="45" t="str">
        <f>IF('Pipeline Data Input'!J48="","",'Pipeline Data Input'!J48)</f>
        <v/>
      </c>
      <c r="E51" s="46">
        <f t="shared" si="26"/>
        <v>0</v>
      </c>
      <c r="F51" s="45" t="str">
        <f>IF('Pipeline Data Input'!B48="","",IFERROR(VLOOKUP('Pipeline Data Input'!B48,'Pipeline Data Input'!$A$66:$B$80,2,FALSE()),'Pipeline Data Input'!B48))</f>
        <v/>
      </c>
      <c r="G51" s="47" t="str">
        <f>IF('Pipeline Data Input'!K48="","",'Pipeline Data Input'!K48)</f>
        <v/>
      </c>
      <c r="H51" s="48">
        <f>IF('Pipeline Data Input'!I48="",0,'Pipeline Data Input'!I48)</f>
        <v>0</v>
      </c>
      <c r="I51" s="49">
        <f t="shared" si="27"/>
        <v>0</v>
      </c>
      <c r="J51" s="50">
        <f>IF('Pipeline Data Input'!F48="",0,'Pipeline Data Input'!F48)</f>
        <v>0</v>
      </c>
      <c r="K51" s="50">
        <f>IF('Pipeline Data Input'!G48="",0,'Pipeline Data Input'!G48)</f>
        <v>0</v>
      </c>
      <c r="L51" s="49">
        <f t="shared" si="28"/>
        <v>0</v>
      </c>
      <c r="M51" s="49">
        <f t="shared" si="29"/>
        <v>0</v>
      </c>
      <c r="N51" s="49">
        <f t="shared" si="30"/>
        <v>0</v>
      </c>
      <c r="O51" s="49">
        <f t="shared" si="31"/>
        <v>0</v>
      </c>
      <c r="P51" s="49">
        <f t="shared" si="32"/>
        <v>0</v>
      </c>
      <c r="Q51" s="49">
        <f t="shared" si="33"/>
        <v>0</v>
      </c>
      <c r="R51" s="49">
        <f t="shared" si="34"/>
        <v>0</v>
      </c>
      <c r="S51" s="49">
        <f t="shared" si="35"/>
        <v>0</v>
      </c>
      <c r="T51" s="51">
        <f t="shared" si="36"/>
        <v>0</v>
      </c>
      <c r="U51" s="49">
        <f t="shared" si="37"/>
        <v>0</v>
      </c>
      <c r="V51" s="49">
        <f t="shared" si="38"/>
        <v>0</v>
      </c>
      <c r="W51" s="49">
        <f t="shared" si="39"/>
        <v>0</v>
      </c>
      <c r="X51" s="49">
        <f t="shared" si="40"/>
        <v>0</v>
      </c>
      <c r="Y51" s="49">
        <f t="shared" si="41"/>
        <v>0</v>
      </c>
      <c r="Z51" s="49">
        <f t="shared" si="42"/>
        <v>0</v>
      </c>
      <c r="AA51" s="49">
        <f t="shared" si="43"/>
        <v>0</v>
      </c>
      <c r="AB51" s="49">
        <f t="shared" si="44"/>
        <v>0</v>
      </c>
      <c r="AC51" s="49">
        <f t="shared" si="45"/>
        <v>0</v>
      </c>
      <c r="AD51" s="49">
        <f t="shared" si="46"/>
        <v>0</v>
      </c>
      <c r="AE51" s="49">
        <f t="shared" si="47"/>
        <v>0</v>
      </c>
      <c r="AF51" s="49">
        <f t="shared" si="48"/>
        <v>0</v>
      </c>
      <c r="AG51" s="51">
        <f t="shared" si="49"/>
        <v>0</v>
      </c>
      <c r="AH51" s="52">
        <f t="shared" si="50"/>
        <v>0</v>
      </c>
      <c r="AI51" s="52">
        <f t="shared" si="51"/>
        <v>0</v>
      </c>
      <c r="AJ51" s="53" t="str">
        <f>IF('Pipeline Data Input'!M48="","",'Pipeline Data Input'!M48)</f>
        <v/>
      </c>
    </row>
    <row r="52" spans="1:36" ht="15" customHeight="1">
      <c r="A52" s="43">
        <v>47</v>
      </c>
      <c r="B52" s="44" t="str">
        <f>IF('Pipeline Data Input'!D49="","",'Pipeline Data Input'!D49)</f>
        <v/>
      </c>
      <c r="C52" s="44" t="str">
        <f>IF('Pipeline Data Input'!E49="","",'Pipeline Data Input'!E49)</f>
        <v/>
      </c>
      <c r="D52" s="45" t="str">
        <f>IF('Pipeline Data Input'!J49="","",'Pipeline Data Input'!J49)</f>
        <v/>
      </c>
      <c r="E52" s="46">
        <f t="shared" si="26"/>
        <v>0</v>
      </c>
      <c r="F52" s="45" t="str">
        <f>IF('Pipeline Data Input'!B49="","",IFERROR(VLOOKUP('Pipeline Data Input'!B49,'Pipeline Data Input'!$A$66:$B$80,2,FALSE()),'Pipeline Data Input'!B49))</f>
        <v/>
      </c>
      <c r="G52" s="47" t="str">
        <f>IF('Pipeline Data Input'!K49="","",'Pipeline Data Input'!K49)</f>
        <v/>
      </c>
      <c r="H52" s="48">
        <f>IF('Pipeline Data Input'!I49="",0,'Pipeline Data Input'!I49)</f>
        <v>0</v>
      </c>
      <c r="I52" s="49">
        <f t="shared" si="27"/>
        <v>0</v>
      </c>
      <c r="J52" s="50">
        <f>IF('Pipeline Data Input'!F49="",0,'Pipeline Data Input'!F49)</f>
        <v>0</v>
      </c>
      <c r="K52" s="50">
        <f>IF('Pipeline Data Input'!G49="",0,'Pipeline Data Input'!G49)</f>
        <v>0</v>
      </c>
      <c r="L52" s="49">
        <f t="shared" si="28"/>
        <v>0</v>
      </c>
      <c r="M52" s="49">
        <f t="shared" si="29"/>
        <v>0</v>
      </c>
      <c r="N52" s="49">
        <f t="shared" si="30"/>
        <v>0</v>
      </c>
      <c r="O52" s="49">
        <f t="shared" si="31"/>
        <v>0</v>
      </c>
      <c r="P52" s="49">
        <f t="shared" si="32"/>
        <v>0</v>
      </c>
      <c r="Q52" s="49">
        <f t="shared" si="33"/>
        <v>0</v>
      </c>
      <c r="R52" s="49">
        <f t="shared" si="34"/>
        <v>0</v>
      </c>
      <c r="S52" s="49">
        <f t="shared" si="35"/>
        <v>0</v>
      </c>
      <c r="T52" s="51">
        <f t="shared" si="36"/>
        <v>0</v>
      </c>
      <c r="U52" s="49">
        <f t="shared" si="37"/>
        <v>0</v>
      </c>
      <c r="V52" s="49">
        <f t="shared" si="38"/>
        <v>0</v>
      </c>
      <c r="W52" s="49">
        <f t="shared" si="39"/>
        <v>0</v>
      </c>
      <c r="X52" s="49">
        <f t="shared" si="40"/>
        <v>0</v>
      </c>
      <c r="Y52" s="49">
        <f t="shared" si="41"/>
        <v>0</v>
      </c>
      <c r="Z52" s="49">
        <f t="shared" si="42"/>
        <v>0</v>
      </c>
      <c r="AA52" s="49">
        <f t="shared" si="43"/>
        <v>0</v>
      </c>
      <c r="AB52" s="49">
        <f t="shared" si="44"/>
        <v>0</v>
      </c>
      <c r="AC52" s="49">
        <f t="shared" si="45"/>
        <v>0</v>
      </c>
      <c r="AD52" s="49">
        <f t="shared" si="46"/>
        <v>0</v>
      </c>
      <c r="AE52" s="49">
        <f t="shared" si="47"/>
        <v>0</v>
      </c>
      <c r="AF52" s="49">
        <f t="shared" si="48"/>
        <v>0</v>
      </c>
      <c r="AG52" s="51">
        <f t="shared" si="49"/>
        <v>0</v>
      </c>
      <c r="AH52" s="52">
        <f t="shared" si="50"/>
        <v>0</v>
      </c>
      <c r="AI52" s="52">
        <f t="shared" si="51"/>
        <v>0</v>
      </c>
      <c r="AJ52" s="53" t="str">
        <f>IF('Pipeline Data Input'!M49="","",'Pipeline Data Input'!M49)</f>
        <v/>
      </c>
    </row>
    <row r="53" spans="1:36" ht="15" customHeight="1">
      <c r="A53" s="43">
        <v>48</v>
      </c>
      <c r="B53" s="44" t="str">
        <f>IF('Pipeline Data Input'!D50="","",'Pipeline Data Input'!D50)</f>
        <v/>
      </c>
      <c r="C53" s="44" t="str">
        <f>IF('Pipeline Data Input'!E50="","",'Pipeline Data Input'!E50)</f>
        <v/>
      </c>
      <c r="D53" s="45" t="str">
        <f>IF('Pipeline Data Input'!J50="","",'Pipeline Data Input'!J50)</f>
        <v/>
      </c>
      <c r="E53" s="46">
        <f t="shared" si="26"/>
        <v>0</v>
      </c>
      <c r="F53" s="45" t="str">
        <f>IF('Pipeline Data Input'!B50="","",IFERROR(VLOOKUP('Pipeline Data Input'!B50,'Pipeline Data Input'!$A$66:$B$80,2,FALSE()),'Pipeline Data Input'!B50))</f>
        <v/>
      </c>
      <c r="G53" s="47" t="str">
        <f>IF('Pipeline Data Input'!K50="","",'Pipeline Data Input'!K50)</f>
        <v/>
      </c>
      <c r="H53" s="48">
        <f>IF('Pipeline Data Input'!I50="",0,'Pipeline Data Input'!I50)</f>
        <v>0</v>
      </c>
      <c r="I53" s="49">
        <f t="shared" si="27"/>
        <v>0</v>
      </c>
      <c r="J53" s="50">
        <f>IF('Pipeline Data Input'!F50="",0,'Pipeline Data Input'!F50)</f>
        <v>0</v>
      </c>
      <c r="K53" s="50">
        <f>IF('Pipeline Data Input'!G50="",0,'Pipeline Data Input'!G50)</f>
        <v>0</v>
      </c>
      <c r="L53" s="49">
        <f t="shared" si="28"/>
        <v>0</v>
      </c>
      <c r="M53" s="49">
        <f t="shared" si="29"/>
        <v>0</v>
      </c>
      <c r="N53" s="49">
        <f t="shared" si="30"/>
        <v>0</v>
      </c>
      <c r="O53" s="49">
        <f t="shared" si="31"/>
        <v>0</v>
      </c>
      <c r="P53" s="49">
        <f t="shared" si="32"/>
        <v>0</v>
      </c>
      <c r="Q53" s="49">
        <f t="shared" si="33"/>
        <v>0</v>
      </c>
      <c r="R53" s="49">
        <f t="shared" si="34"/>
        <v>0</v>
      </c>
      <c r="S53" s="49">
        <f t="shared" si="35"/>
        <v>0</v>
      </c>
      <c r="T53" s="51">
        <f t="shared" si="36"/>
        <v>0</v>
      </c>
      <c r="U53" s="49">
        <f t="shared" si="37"/>
        <v>0</v>
      </c>
      <c r="V53" s="49">
        <f t="shared" si="38"/>
        <v>0</v>
      </c>
      <c r="W53" s="49">
        <f t="shared" si="39"/>
        <v>0</v>
      </c>
      <c r="X53" s="49">
        <f t="shared" si="40"/>
        <v>0</v>
      </c>
      <c r="Y53" s="49">
        <f t="shared" si="41"/>
        <v>0</v>
      </c>
      <c r="Z53" s="49">
        <f t="shared" si="42"/>
        <v>0</v>
      </c>
      <c r="AA53" s="49">
        <f t="shared" si="43"/>
        <v>0</v>
      </c>
      <c r="AB53" s="49">
        <f t="shared" si="44"/>
        <v>0</v>
      </c>
      <c r="AC53" s="49">
        <f t="shared" si="45"/>
        <v>0</v>
      </c>
      <c r="AD53" s="49">
        <f t="shared" si="46"/>
        <v>0</v>
      </c>
      <c r="AE53" s="49">
        <f t="shared" si="47"/>
        <v>0</v>
      </c>
      <c r="AF53" s="49">
        <f t="shared" si="48"/>
        <v>0</v>
      </c>
      <c r="AG53" s="51">
        <f t="shared" si="49"/>
        <v>0</v>
      </c>
      <c r="AH53" s="52">
        <f t="shared" si="50"/>
        <v>0</v>
      </c>
      <c r="AI53" s="52">
        <f t="shared" si="51"/>
        <v>0</v>
      </c>
      <c r="AJ53" s="53" t="str">
        <f>IF('Pipeline Data Input'!M50="","",'Pipeline Data Input'!M50)</f>
        <v/>
      </c>
    </row>
    <row r="54" spans="1:36" ht="15" customHeight="1">
      <c r="A54" s="43">
        <v>49</v>
      </c>
      <c r="B54" s="44" t="str">
        <f>IF('Pipeline Data Input'!D51="","",'Pipeline Data Input'!D51)</f>
        <v/>
      </c>
      <c r="C54" s="44" t="str">
        <f>IF('Pipeline Data Input'!E51="","",'Pipeline Data Input'!E51)</f>
        <v/>
      </c>
      <c r="D54" s="45" t="str">
        <f>IF('Pipeline Data Input'!J51="","",'Pipeline Data Input'!J51)</f>
        <v/>
      </c>
      <c r="E54" s="46">
        <f t="shared" si="26"/>
        <v>0</v>
      </c>
      <c r="F54" s="45" t="str">
        <f>IF('Pipeline Data Input'!B51="","",IFERROR(VLOOKUP('Pipeline Data Input'!B51,'Pipeline Data Input'!$A$66:$B$80,2,FALSE()),'Pipeline Data Input'!B51))</f>
        <v/>
      </c>
      <c r="G54" s="47" t="str">
        <f>IF('Pipeline Data Input'!K51="","",'Pipeline Data Input'!K51)</f>
        <v/>
      </c>
      <c r="H54" s="48">
        <f>IF('Pipeline Data Input'!I51="",0,'Pipeline Data Input'!I51)</f>
        <v>0</v>
      </c>
      <c r="I54" s="49">
        <f t="shared" si="27"/>
        <v>0</v>
      </c>
      <c r="J54" s="50">
        <f>IF('Pipeline Data Input'!F51="",0,'Pipeline Data Input'!F51)</f>
        <v>0</v>
      </c>
      <c r="K54" s="50">
        <f>IF('Pipeline Data Input'!G51="",0,'Pipeline Data Input'!G51)</f>
        <v>0</v>
      </c>
      <c r="L54" s="49">
        <f t="shared" si="28"/>
        <v>0</v>
      </c>
      <c r="M54" s="49">
        <f t="shared" si="29"/>
        <v>0</v>
      </c>
      <c r="N54" s="49">
        <f t="shared" si="30"/>
        <v>0</v>
      </c>
      <c r="O54" s="49">
        <f t="shared" si="31"/>
        <v>0</v>
      </c>
      <c r="P54" s="49">
        <f t="shared" si="32"/>
        <v>0</v>
      </c>
      <c r="Q54" s="49">
        <f t="shared" si="33"/>
        <v>0</v>
      </c>
      <c r="R54" s="49">
        <f t="shared" si="34"/>
        <v>0</v>
      </c>
      <c r="S54" s="49">
        <f t="shared" si="35"/>
        <v>0</v>
      </c>
      <c r="T54" s="51">
        <f t="shared" si="36"/>
        <v>0</v>
      </c>
      <c r="U54" s="49">
        <f t="shared" si="37"/>
        <v>0</v>
      </c>
      <c r="V54" s="49">
        <f t="shared" si="38"/>
        <v>0</v>
      </c>
      <c r="W54" s="49">
        <f t="shared" si="39"/>
        <v>0</v>
      </c>
      <c r="X54" s="49">
        <f t="shared" si="40"/>
        <v>0</v>
      </c>
      <c r="Y54" s="49">
        <f t="shared" si="41"/>
        <v>0</v>
      </c>
      <c r="Z54" s="49">
        <f t="shared" si="42"/>
        <v>0</v>
      </c>
      <c r="AA54" s="49">
        <f t="shared" si="43"/>
        <v>0</v>
      </c>
      <c r="AB54" s="49">
        <f t="shared" si="44"/>
        <v>0</v>
      </c>
      <c r="AC54" s="49">
        <f t="shared" si="45"/>
        <v>0</v>
      </c>
      <c r="AD54" s="49">
        <f t="shared" si="46"/>
        <v>0</v>
      </c>
      <c r="AE54" s="49">
        <f t="shared" si="47"/>
        <v>0</v>
      </c>
      <c r="AF54" s="49">
        <f t="shared" si="48"/>
        <v>0</v>
      </c>
      <c r="AG54" s="51">
        <f t="shared" si="49"/>
        <v>0</v>
      </c>
      <c r="AH54" s="52">
        <f t="shared" si="50"/>
        <v>0</v>
      </c>
      <c r="AI54" s="52">
        <f t="shared" si="51"/>
        <v>0</v>
      </c>
      <c r="AJ54" s="53" t="str">
        <f>IF('Pipeline Data Input'!M51="","",'Pipeline Data Input'!M51)</f>
        <v/>
      </c>
    </row>
    <row r="55" spans="1:36" ht="15" customHeight="1">
      <c r="A55" s="43">
        <v>50</v>
      </c>
      <c r="B55" s="44" t="str">
        <f>IF('Pipeline Data Input'!D52="","",'Pipeline Data Input'!D52)</f>
        <v/>
      </c>
      <c r="C55" s="44" t="str">
        <f>IF('Pipeline Data Input'!E52="","",'Pipeline Data Input'!E52)</f>
        <v/>
      </c>
      <c r="D55" s="45" t="str">
        <f>IF('Pipeline Data Input'!J52="","",'Pipeline Data Input'!J52)</f>
        <v/>
      </c>
      <c r="E55" s="46">
        <f t="shared" si="26"/>
        <v>0</v>
      </c>
      <c r="F55" s="45" t="str">
        <f>IF('Pipeline Data Input'!B52="","",IFERROR(VLOOKUP('Pipeline Data Input'!B52,'Pipeline Data Input'!$A$66:$B$80,2,FALSE()),'Pipeline Data Input'!B52))</f>
        <v/>
      </c>
      <c r="G55" s="47" t="str">
        <f>IF('Pipeline Data Input'!K52="","",'Pipeline Data Input'!K52)</f>
        <v/>
      </c>
      <c r="H55" s="48">
        <f>IF('Pipeline Data Input'!I52="",0,'Pipeline Data Input'!I52)</f>
        <v>0</v>
      </c>
      <c r="I55" s="49">
        <f t="shared" si="27"/>
        <v>0</v>
      </c>
      <c r="J55" s="50">
        <f>IF('Pipeline Data Input'!F52="",0,'Pipeline Data Input'!F52)</f>
        <v>0</v>
      </c>
      <c r="K55" s="50">
        <f>IF('Pipeline Data Input'!G52="",0,'Pipeline Data Input'!G52)</f>
        <v>0</v>
      </c>
      <c r="L55" s="49">
        <f t="shared" si="28"/>
        <v>0</v>
      </c>
      <c r="M55" s="49">
        <f t="shared" si="29"/>
        <v>0</v>
      </c>
      <c r="N55" s="49">
        <f t="shared" si="30"/>
        <v>0</v>
      </c>
      <c r="O55" s="49">
        <f t="shared" si="31"/>
        <v>0</v>
      </c>
      <c r="P55" s="49">
        <f t="shared" si="32"/>
        <v>0</v>
      </c>
      <c r="Q55" s="49">
        <f t="shared" si="33"/>
        <v>0</v>
      </c>
      <c r="R55" s="49">
        <f t="shared" si="34"/>
        <v>0</v>
      </c>
      <c r="S55" s="49">
        <f t="shared" si="35"/>
        <v>0</v>
      </c>
      <c r="T55" s="51">
        <f t="shared" si="36"/>
        <v>0</v>
      </c>
      <c r="U55" s="49">
        <f t="shared" si="37"/>
        <v>0</v>
      </c>
      <c r="V55" s="49">
        <f t="shared" si="38"/>
        <v>0</v>
      </c>
      <c r="W55" s="49">
        <f t="shared" si="39"/>
        <v>0</v>
      </c>
      <c r="X55" s="49">
        <f t="shared" si="40"/>
        <v>0</v>
      </c>
      <c r="Y55" s="49">
        <f t="shared" si="41"/>
        <v>0</v>
      </c>
      <c r="Z55" s="49">
        <f t="shared" si="42"/>
        <v>0</v>
      </c>
      <c r="AA55" s="49">
        <f t="shared" si="43"/>
        <v>0</v>
      </c>
      <c r="AB55" s="49">
        <f t="shared" si="44"/>
        <v>0</v>
      </c>
      <c r="AC55" s="49">
        <f t="shared" si="45"/>
        <v>0</v>
      </c>
      <c r="AD55" s="49">
        <f t="shared" si="46"/>
        <v>0</v>
      </c>
      <c r="AE55" s="49">
        <f t="shared" si="47"/>
        <v>0</v>
      </c>
      <c r="AF55" s="49">
        <f t="shared" si="48"/>
        <v>0</v>
      </c>
      <c r="AG55" s="51">
        <f t="shared" si="49"/>
        <v>0</v>
      </c>
      <c r="AH55" s="52">
        <f t="shared" si="50"/>
        <v>0</v>
      </c>
      <c r="AI55" s="52">
        <f t="shared" si="51"/>
        <v>0</v>
      </c>
      <c r="AJ55" s="53" t="str">
        <f>IF('Pipeline Data Input'!M52="","",'Pipeline Data Input'!M52)</f>
        <v/>
      </c>
    </row>
    <row r="56" spans="1:36" ht="15" customHeight="1">
      <c r="A56" s="43">
        <v>51</v>
      </c>
      <c r="B56" s="44" t="str">
        <f>IF('Pipeline Data Input'!D53="","",'Pipeline Data Input'!D53)</f>
        <v/>
      </c>
      <c r="C56" s="44" t="str">
        <f>IF('Pipeline Data Input'!E53="","",'Pipeline Data Input'!E53)</f>
        <v/>
      </c>
      <c r="D56" s="45" t="str">
        <f>IF('Pipeline Data Input'!J53="","",'Pipeline Data Input'!J53)</f>
        <v/>
      </c>
      <c r="E56" s="46">
        <f t="shared" si="26"/>
        <v>0</v>
      </c>
      <c r="F56" s="45" t="str">
        <f>IF('Pipeline Data Input'!B53="","",IFERROR(VLOOKUP('Pipeline Data Input'!B53,'Pipeline Data Input'!$A$66:$B$80,2,FALSE()),'Pipeline Data Input'!B53))</f>
        <v/>
      </c>
      <c r="G56" s="47" t="str">
        <f>IF('Pipeline Data Input'!K53="","",'Pipeline Data Input'!K53)</f>
        <v/>
      </c>
      <c r="H56" s="48">
        <f>IF('Pipeline Data Input'!I53="",0,'Pipeline Data Input'!I53)</f>
        <v>0</v>
      </c>
      <c r="I56" s="49">
        <f t="shared" si="27"/>
        <v>0</v>
      </c>
      <c r="J56" s="50">
        <f>IF('Pipeline Data Input'!F53="",0,'Pipeline Data Input'!F53)</f>
        <v>0</v>
      </c>
      <c r="K56" s="50">
        <f>IF('Pipeline Data Input'!G53="",0,'Pipeline Data Input'!G53)</f>
        <v>0</v>
      </c>
      <c r="L56" s="49">
        <f t="shared" si="28"/>
        <v>0</v>
      </c>
      <c r="M56" s="49">
        <f t="shared" si="29"/>
        <v>0</v>
      </c>
      <c r="N56" s="49">
        <f t="shared" si="30"/>
        <v>0</v>
      </c>
      <c r="O56" s="49">
        <f t="shared" si="31"/>
        <v>0</v>
      </c>
      <c r="P56" s="49">
        <f t="shared" si="32"/>
        <v>0</v>
      </c>
      <c r="Q56" s="49">
        <f t="shared" si="33"/>
        <v>0</v>
      </c>
      <c r="R56" s="49">
        <f t="shared" si="34"/>
        <v>0</v>
      </c>
      <c r="S56" s="49">
        <f t="shared" si="35"/>
        <v>0</v>
      </c>
      <c r="T56" s="51">
        <f t="shared" si="36"/>
        <v>0</v>
      </c>
      <c r="U56" s="49">
        <f t="shared" si="37"/>
        <v>0</v>
      </c>
      <c r="V56" s="49">
        <f t="shared" si="38"/>
        <v>0</v>
      </c>
      <c r="W56" s="49">
        <f t="shared" si="39"/>
        <v>0</v>
      </c>
      <c r="X56" s="49">
        <f t="shared" si="40"/>
        <v>0</v>
      </c>
      <c r="Y56" s="49">
        <f t="shared" si="41"/>
        <v>0</v>
      </c>
      <c r="Z56" s="49">
        <f t="shared" si="42"/>
        <v>0</v>
      </c>
      <c r="AA56" s="49">
        <f t="shared" si="43"/>
        <v>0</v>
      </c>
      <c r="AB56" s="49">
        <f t="shared" si="44"/>
        <v>0</v>
      </c>
      <c r="AC56" s="49">
        <f t="shared" si="45"/>
        <v>0</v>
      </c>
      <c r="AD56" s="49">
        <f t="shared" si="46"/>
        <v>0</v>
      </c>
      <c r="AE56" s="49">
        <f t="shared" si="47"/>
        <v>0</v>
      </c>
      <c r="AF56" s="49">
        <f t="shared" si="48"/>
        <v>0</v>
      </c>
      <c r="AG56" s="51">
        <f t="shared" si="49"/>
        <v>0</v>
      </c>
      <c r="AH56" s="52">
        <f t="shared" si="50"/>
        <v>0</v>
      </c>
      <c r="AI56" s="52">
        <f t="shared" si="51"/>
        <v>0</v>
      </c>
      <c r="AJ56" s="53" t="str">
        <f>IF('Pipeline Data Input'!M53="","",'Pipeline Data Input'!M53)</f>
        <v/>
      </c>
    </row>
    <row r="57" spans="1:36" ht="15" customHeight="1">
      <c r="A57" s="43">
        <v>52</v>
      </c>
      <c r="B57" s="44" t="str">
        <f>IF('Pipeline Data Input'!D54="","",'Pipeline Data Input'!D54)</f>
        <v/>
      </c>
      <c r="C57" s="44" t="str">
        <f>IF('Pipeline Data Input'!E54="","",'Pipeline Data Input'!E54)</f>
        <v/>
      </c>
      <c r="D57" s="45" t="str">
        <f>IF('Pipeline Data Input'!J54="","",'Pipeline Data Input'!J54)</f>
        <v/>
      </c>
      <c r="E57" s="46">
        <f t="shared" si="26"/>
        <v>0</v>
      </c>
      <c r="F57" s="45" t="str">
        <f>IF('Pipeline Data Input'!B54="","",IFERROR(VLOOKUP('Pipeline Data Input'!B54,'Pipeline Data Input'!$A$66:$B$80,2,FALSE()),'Pipeline Data Input'!B54))</f>
        <v/>
      </c>
      <c r="G57" s="47" t="str">
        <f>IF('Pipeline Data Input'!K54="","",'Pipeline Data Input'!K54)</f>
        <v/>
      </c>
      <c r="H57" s="48">
        <f>IF('Pipeline Data Input'!I54="",0,'Pipeline Data Input'!I54)</f>
        <v>0</v>
      </c>
      <c r="I57" s="49">
        <f t="shared" si="27"/>
        <v>0</v>
      </c>
      <c r="J57" s="50">
        <f>IF('Pipeline Data Input'!F54="",0,'Pipeline Data Input'!F54)</f>
        <v>0</v>
      </c>
      <c r="K57" s="50">
        <f>IF('Pipeline Data Input'!G54="",0,'Pipeline Data Input'!G54)</f>
        <v>0</v>
      </c>
      <c r="L57" s="49">
        <f t="shared" si="28"/>
        <v>0</v>
      </c>
      <c r="M57" s="49">
        <f t="shared" si="29"/>
        <v>0</v>
      </c>
      <c r="N57" s="49">
        <f t="shared" si="30"/>
        <v>0</v>
      </c>
      <c r="O57" s="49">
        <f t="shared" si="31"/>
        <v>0</v>
      </c>
      <c r="P57" s="49">
        <f t="shared" si="32"/>
        <v>0</v>
      </c>
      <c r="Q57" s="49">
        <f t="shared" si="33"/>
        <v>0</v>
      </c>
      <c r="R57" s="49">
        <f t="shared" si="34"/>
        <v>0</v>
      </c>
      <c r="S57" s="49">
        <f t="shared" si="35"/>
        <v>0</v>
      </c>
      <c r="T57" s="51">
        <f t="shared" si="36"/>
        <v>0</v>
      </c>
      <c r="U57" s="49">
        <f t="shared" si="37"/>
        <v>0</v>
      </c>
      <c r="V57" s="49">
        <f t="shared" si="38"/>
        <v>0</v>
      </c>
      <c r="W57" s="49">
        <f t="shared" si="39"/>
        <v>0</v>
      </c>
      <c r="X57" s="49">
        <f t="shared" si="40"/>
        <v>0</v>
      </c>
      <c r="Y57" s="49">
        <f t="shared" si="41"/>
        <v>0</v>
      </c>
      <c r="Z57" s="49">
        <f t="shared" si="42"/>
        <v>0</v>
      </c>
      <c r="AA57" s="49">
        <f t="shared" si="43"/>
        <v>0</v>
      </c>
      <c r="AB57" s="49">
        <f t="shared" si="44"/>
        <v>0</v>
      </c>
      <c r="AC57" s="49">
        <f t="shared" si="45"/>
        <v>0</v>
      </c>
      <c r="AD57" s="49">
        <f t="shared" si="46"/>
        <v>0</v>
      </c>
      <c r="AE57" s="49">
        <f t="shared" si="47"/>
        <v>0</v>
      </c>
      <c r="AF57" s="49">
        <f t="shared" si="48"/>
        <v>0</v>
      </c>
      <c r="AG57" s="51">
        <f t="shared" si="49"/>
        <v>0</v>
      </c>
      <c r="AH57" s="52">
        <f t="shared" si="50"/>
        <v>0</v>
      </c>
      <c r="AI57" s="52">
        <f t="shared" si="51"/>
        <v>0</v>
      </c>
      <c r="AJ57" s="53" t="str">
        <f>IF('Pipeline Data Input'!M54="","",'Pipeline Data Input'!M54)</f>
        <v/>
      </c>
    </row>
    <row r="58" spans="1:36" ht="15" customHeight="1">
      <c r="A58" s="43">
        <v>53</v>
      </c>
      <c r="B58" s="44" t="str">
        <f>IF('Pipeline Data Input'!D55="","",'Pipeline Data Input'!D55)</f>
        <v/>
      </c>
      <c r="C58" s="44" t="str">
        <f>IF('Pipeline Data Input'!E55="","",'Pipeline Data Input'!E55)</f>
        <v/>
      </c>
      <c r="D58" s="45" t="str">
        <f>IF('Pipeline Data Input'!J55="","",'Pipeline Data Input'!J55)</f>
        <v/>
      </c>
      <c r="E58" s="46">
        <f t="shared" si="26"/>
        <v>0</v>
      </c>
      <c r="F58" s="45" t="str">
        <f>IF('Pipeline Data Input'!B55="","",IFERROR(VLOOKUP('Pipeline Data Input'!B55,'Pipeline Data Input'!$A$66:$B$80,2,FALSE()),'Pipeline Data Input'!B55))</f>
        <v/>
      </c>
      <c r="G58" s="47" t="str">
        <f>IF('Pipeline Data Input'!K55="","",'Pipeline Data Input'!K55)</f>
        <v/>
      </c>
      <c r="H58" s="48">
        <f>IF('Pipeline Data Input'!I55="",0,'Pipeline Data Input'!I55)</f>
        <v>0</v>
      </c>
      <c r="I58" s="49">
        <f t="shared" si="27"/>
        <v>0</v>
      </c>
      <c r="J58" s="50">
        <f>IF('Pipeline Data Input'!F55="",0,'Pipeline Data Input'!F55)</f>
        <v>0</v>
      </c>
      <c r="K58" s="50">
        <f>IF('Pipeline Data Input'!G55="",0,'Pipeline Data Input'!G55)</f>
        <v>0</v>
      </c>
      <c r="L58" s="49">
        <f t="shared" si="28"/>
        <v>0</v>
      </c>
      <c r="M58" s="49">
        <f t="shared" si="29"/>
        <v>0</v>
      </c>
      <c r="N58" s="49">
        <f t="shared" si="30"/>
        <v>0</v>
      </c>
      <c r="O58" s="49">
        <f t="shared" si="31"/>
        <v>0</v>
      </c>
      <c r="P58" s="49">
        <f t="shared" si="32"/>
        <v>0</v>
      </c>
      <c r="Q58" s="49">
        <f t="shared" si="33"/>
        <v>0</v>
      </c>
      <c r="R58" s="49">
        <f t="shared" si="34"/>
        <v>0</v>
      </c>
      <c r="S58" s="49">
        <f t="shared" si="35"/>
        <v>0</v>
      </c>
      <c r="T58" s="51">
        <f t="shared" si="36"/>
        <v>0</v>
      </c>
      <c r="U58" s="49">
        <f t="shared" si="37"/>
        <v>0</v>
      </c>
      <c r="V58" s="49">
        <f t="shared" si="38"/>
        <v>0</v>
      </c>
      <c r="W58" s="49">
        <f t="shared" si="39"/>
        <v>0</v>
      </c>
      <c r="X58" s="49">
        <f t="shared" si="40"/>
        <v>0</v>
      </c>
      <c r="Y58" s="49">
        <f t="shared" si="41"/>
        <v>0</v>
      </c>
      <c r="Z58" s="49">
        <f t="shared" si="42"/>
        <v>0</v>
      </c>
      <c r="AA58" s="49">
        <f t="shared" si="43"/>
        <v>0</v>
      </c>
      <c r="AB58" s="49">
        <f t="shared" si="44"/>
        <v>0</v>
      </c>
      <c r="AC58" s="49">
        <f t="shared" si="45"/>
        <v>0</v>
      </c>
      <c r="AD58" s="49">
        <f t="shared" si="46"/>
        <v>0</v>
      </c>
      <c r="AE58" s="49">
        <f t="shared" si="47"/>
        <v>0</v>
      </c>
      <c r="AF58" s="49">
        <f t="shared" si="48"/>
        <v>0</v>
      </c>
      <c r="AG58" s="51">
        <f t="shared" si="49"/>
        <v>0</v>
      </c>
      <c r="AH58" s="52">
        <f t="shared" si="50"/>
        <v>0</v>
      </c>
      <c r="AI58" s="52">
        <f t="shared" si="51"/>
        <v>0</v>
      </c>
      <c r="AJ58" s="53" t="str">
        <f>IF('Pipeline Data Input'!M55="","",'Pipeline Data Input'!M55)</f>
        <v/>
      </c>
    </row>
    <row r="59" spans="1:36" ht="15" customHeight="1">
      <c r="A59" s="43">
        <v>54</v>
      </c>
      <c r="B59" s="44" t="str">
        <f>IF('Pipeline Data Input'!D56="","",'Pipeline Data Input'!D56)</f>
        <v/>
      </c>
      <c r="C59" s="44" t="str">
        <f>IF('Pipeline Data Input'!E56="","",'Pipeline Data Input'!E56)</f>
        <v/>
      </c>
      <c r="D59" s="45" t="str">
        <f>IF('Pipeline Data Input'!J56="","",'Pipeline Data Input'!J56)</f>
        <v/>
      </c>
      <c r="E59" s="46">
        <f t="shared" si="26"/>
        <v>0</v>
      </c>
      <c r="F59" s="45" t="str">
        <f>IF('Pipeline Data Input'!B56="","",IFERROR(VLOOKUP('Pipeline Data Input'!B56,'Pipeline Data Input'!$A$66:$B$80,2,FALSE()),'Pipeline Data Input'!B56))</f>
        <v/>
      </c>
      <c r="G59" s="47" t="str">
        <f>IF('Pipeline Data Input'!K56="","",'Pipeline Data Input'!K56)</f>
        <v/>
      </c>
      <c r="H59" s="48">
        <f>IF('Pipeline Data Input'!I56="",0,'Pipeline Data Input'!I56)</f>
        <v>0</v>
      </c>
      <c r="I59" s="49">
        <f t="shared" si="27"/>
        <v>0</v>
      </c>
      <c r="J59" s="50">
        <f>IF('Pipeline Data Input'!F56="",0,'Pipeline Data Input'!F56)</f>
        <v>0</v>
      </c>
      <c r="K59" s="50">
        <f>IF('Pipeline Data Input'!G56="",0,'Pipeline Data Input'!G56)</f>
        <v>0</v>
      </c>
      <c r="L59" s="49">
        <f t="shared" si="28"/>
        <v>0</v>
      </c>
      <c r="M59" s="49">
        <f t="shared" si="29"/>
        <v>0</v>
      </c>
      <c r="N59" s="49">
        <f t="shared" si="30"/>
        <v>0</v>
      </c>
      <c r="O59" s="49">
        <f t="shared" si="31"/>
        <v>0</v>
      </c>
      <c r="P59" s="49">
        <f t="shared" si="32"/>
        <v>0</v>
      </c>
      <c r="Q59" s="49">
        <f t="shared" si="33"/>
        <v>0</v>
      </c>
      <c r="R59" s="49">
        <f t="shared" si="34"/>
        <v>0</v>
      </c>
      <c r="S59" s="49">
        <f t="shared" si="35"/>
        <v>0</v>
      </c>
      <c r="T59" s="51">
        <f t="shared" si="36"/>
        <v>0</v>
      </c>
      <c r="U59" s="49">
        <f t="shared" si="37"/>
        <v>0</v>
      </c>
      <c r="V59" s="49">
        <f t="shared" si="38"/>
        <v>0</v>
      </c>
      <c r="W59" s="49">
        <f t="shared" si="39"/>
        <v>0</v>
      </c>
      <c r="X59" s="49">
        <f t="shared" si="40"/>
        <v>0</v>
      </c>
      <c r="Y59" s="49">
        <f t="shared" si="41"/>
        <v>0</v>
      </c>
      <c r="Z59" s="49">
        <f t="shared" si="42"/>
        <v>0</v>
      </c>
      <c r="AA59" s="49">
        <f t="shared" si="43"/>
        <v>0</v>
      </c>
      <c r="AB59" s="49">
        <f t="shared" si="44"/>
        <v>0</v>
      </c>
      <c r="AC59" s="49">
        <f t="shared" si="45"/>
        <v>0</v>
      </c>
      <c r="AD59" s="49">
        <f t="shared" si="46"/>
        <v>0</v>
      </c>
      <c r="AE59" s="49">
        <f t="shared" si="47"/>
        <v>0</v>
      </c>
      <c r="AF59" s="49">
        <f t="shared" si="48"/>
        <v>0</v>
      </c>
      <c r="AG59" s="51">
        <f t="shared" si="49"/>
        <v>0</v>
      </c>
      <c r="AH59" s="52">
        <f t="shared" si="50"/>
        <v>0</v>
      </c>
      <c r="AI59" s="52">
        <f t="shared" si="51"/>
        <v>0</v>
      </c>
      <c r="AJ59" s="53" t="str">
        <f>IF('Pipeline Data Input'!M56="","",'Pipeline Data Input'!M56)</f>
        <v/>
      </c>
    </row>
    <row r="60" spans="1:36" ht="15" customHeight="1">
      <c r="A60" s="43">
        <v>55</v>
      </c>
      <c r="B60" s="44" t="str">
        <f>IF('Pipeline Data Input'!D57="","",'Pipeline Data Input'!D57)</f>
        <v/>
      </c>
      <c r="C60" s="44" t="str">
        <f>IF('Pipeline Data Input'!E57="","",'Pipeline Data Input'!E57)</f>
        <v/>
      </c>
      <c r="D60" s="45" t="str">
        <f>IF('Pipeline Data Input'!J57="","",'Pipeline Data Input'!J57)</f>
        <v/>
      </c>
      <c r="E60" s="46">
        <f t="shared" si="26"/>
        <v>0</v>
      </c>
      <c r="F60" s="45" t="str">
        <f>IF('Pipeline Data Input'!B57="","",IFERROR(VLOOKUP('Pipeline Data Input'!B57,'Pipeline Data Input'!$A$66:$B$80,2,FALSE()),'Pipeline Data Input'!B57))</f>
        <v/>
      </c>
      <c r="G60" s="47" t="str">
        <f>IF('Pipeline Data Input'!K57="","",'Pipeline Data Input'!K57)</f>
        <v/>
      </c>
      <c r="H60" s="48">
        <f>IF('Pipeline Data Input'!I57="",0,'Pipeline Data Input'!I57)</f>
        <v>0</v>
      </c>
      <c r="I60" s="49">
        <f t="shared" si="27"/>
        <v>0</v>
      </c>
      <c r="J60" s="50">
        <f>IF('Pipeline Data Input'!F57="",0,'Pipeline Data Input'!F57)</f>
        <v>0</v>
      </c>
      <c r="K60" s="50">
        <f>IF('Pipeline Data Input'!G57="",0,'Pipeline Data Input'!G57)</f>
        <v>0</v>
      </c>
      <c r="L60" s="49">
        <f t="shared" si="28"/>
        <v>0</v>
      </c>
      <c r="M60" s="49">
        <f t="shared" si="29"/>
        <v>0</v>
      </c>
      <c r="N60" s="49">
        <f t="shared" si="30"/>
        <v>0</v>
      </c>
      <c r="O60" s="49">
        <f t="shared" si="31"/>
        <v>0</v>
      </c>
      <c r="P60" s="49">
        <f t="shared" si="32"/>
        <v>0</v>
      </c>
      <c r="Q60" s="49">
        <f t="shared" si="33"/>
        <v>0</v>
      </c>
      <c r="R60" s="49">
        <f t="shared" si="34"/>
        <v>0</v>
      </c>
      <c r="S60" s="49">
        <f t="shared" si="35"/>
        <v>0</v>
      </c>
      <c r="T60" s="51">
        <f t="shared" si="36"/>
        <v>0</v>
      </c>
      <c r="U60" s="49">
        <f t="shared" si="37"/>
        <v>0</v>
      </c>
      <c r="V60" s="49">
        <f t="shared" si="38"/>
        <v>0</v>
      </c>
      <c r="W60" s="49">
        <f t="shared" si="39"/>
        <v>0</v>
      </c>
      <c r="X60" s="49">
        <f t="shared" si="40"/>
        <v>0</v>
      </c>
      <c r="Y60" s="49">
        <f t="shared" si="41"/>
        <v>0</v>
      </c>
      <c r="Z60" s="49">
        <f t="shared" si="42"/>
        <v>0</v>
      </c>
      <c r="AA60" s="49">
        <f t="shared" si="43"/>
        <v>0</v>
      </c>
      <c r="AB60" s="49">
        <f t="shared" si="44"/>
        <v>0</v>
      </c>
      <c r="AC60" s="49">
        <f t="shared" si="45"/>
        <v>0</v>
      </c>
      <c r="AD60" s="49">
        <f t="shared" si="46"/>
        <v>0</v>
      </c>
      <c r="AE60" s="49">
        <f t="shared" si="47"/>
        <v>0</v>
      </c>
      <c r="AF60" s="49">
        <f t="shared" si="48"/>
        <v>0</v>
      </c>
      <c r="AG60" s="51">
        <f t="shared" si="49"/>
        <v>0</v>
      </c>
      <c r="AH60" s="52">
        <f t="shared" si="50"/>
        <v>0</v>
      </c>
      <c r="AI60" s="52">
        <f t="shared" si="51"/>
        <v>0</v>
      </c>
      <c r="AJ60" s="53" t="str">
        <f>IF('Pipeline Data Input'!M57="","",'Pipeline Data Input'!M57)</f>
        <v/>
      </c>
    </row>
    <row r="61" spans="1:36" ht="15" customHeight="1">
      <c r="A61" s="43">
        <v>56</v>
      </c>
      <c r="B61" s="44" t="str">
        <f>IF('Pipeline Data Input'!D58="","",'Pipeline Data Input'!D58)</f>
        <v/>
      </c>
      <c r="C61" s="44" t="str">
        <f>IF('Pipeline Data Input'!E58="","",'Pipeline Data Input'!E58)</f>
        <v/>
      </c>
      <c r="D61" s="45" t="str">
        <f>IF('Pipeline Data Input'!J58="","",'Pipeline Data Input'!J58)</f>
        <v/>
      </c>
      <c r="E61" s="46">
        <f t="shared" si="26"/>
        <v>0</v>
      </c>
      <c r="F61" s="45" t="str">
        <f>IF('Pipeline Data Input'!B58="","",IFERROR(VLOOKUP('Pipeline Data Input'!B58,'Pipeline Data Input'!$A$66:$B$80,2,FALSE()),'Pipeline Data Input'!B58))</f>
        <v/>
      </c>
      <c r="G61" s="47" t="str">
        <f>IF('Pipeline Data Input'!K58="","",'Pipeline Data Input'!K58)</f>
        <v/>
      </c>
      <c r="H61" s="48">
        <f>IF('Pipeline Data Input'!I58="",0,'Pipeline Data Input'!I58)</f>
        <v>0</v>
      </c>
      <c r="I61" s="49">
        <f t="shared" si="27"/>
        <v>0</v>
      </c>
      <c r="J61" s="50">
        <f>IF('Pipeline Data Input'!F58="",0,'Pipeline Data Input'!F58)</f>
        <v>0</v>
      </c>
      <c r="K61" s="50">
        <f>IF('Pipeline Data Input'!G58="",0,'Pipeline Data Input'!G58)</f>
        <v>0</v>
      </c>
      <c r="L61" s="49">
        <f t="shared" si="28"/>
        <v>0</v>
      </c>
      <c r="M61" s="49">
        <f t="shared" si="29"/>
        <v>0</v>
      </c>
      <c r="N61" s="49">
        <f t="shared" si="30"/>
        <v>0</v>
      </c>
      <c r="O61" s="49">
        <f t="shared" si="31"/>
        <v>0</v>
      </c>
      <c r="P61" s="49">
        <f t="shared" si="32"/>
        <v>0</v>
      </c>
      <c r="Q61" s="49">
        <f t="shared" si="33"/>
        <v>0</v>
      </c>
      <c r="R61" s="49">
        <f t="shared" si="34"/>
        <v>0</v>
      </c>
      <c r="S61" s="49">
        <f t="shared" si="35"/>
        <v>0</v>
      </c>
      <c r="T61" s="51">
        <f t="shared" si="36"/>
        <v>0</v>
      </c>
      <c r="U61" s="49">
        <f t="shared" si="37"/>
        <v>0</v>
      </c>
      <c r="V61" s="49">
        <f t="shared" si="38"/>
        <v>0</v>
      </c>
      <c r="W61" s="49">
        <f t="shared" si="39"/>
        <v>0</v>
      </c>
      <c r="X61" s="49">
        <f t="shared" si="40"/>
        <v>0</v>
      </c>
      <c r="Y61" s="49">
        <f t="shared" si="41"/>
        <v>0</v>
      </c>
      <c r="Z61" s="49">
        <f t="shared" si="42"/>
        <v>0</v>
      </c>
      <c r="AA61" s="49">
        <f t="shared" si="43"/>
        <v>0</v>
      </c>
      <c r="AB61" s="49">
        <f t="shared" si="44"/>
        <v>0</v>
      </c>
      <c r="AC61" s="49">
        <f t="shared" si="45"/>
        <v>0</v>
      </c>
      <c r="AD61" s="49">
        <f t="shared" si="46"/>
        <v>0</v>
      </c>
      <c r="AE61" s="49">
        <f t="shared" si="47"/>
        <v>0</v>
      </c>
      <c r="AF61" s="49">
        <f t="shared" si="48"/>
        <v>0</v>
      </c>
      <c r="AG61" s="51">
        <f t="shared" si="49"/>
        <v>0</v>
      </c>
      <c r="AH61" s="52">
        <f t="shared" si="50"/>
        <v>0</v>
      </c>
      <c r="AI61" s="52">
        <f t="shared" si="51"/>
        <v>0</v>
      </c>
      <c r="AJ61" s="53" t="str">
        <f>IF('Pipeline Data Input'!M58="","",'Pipeline Data Input'!M58)</f>
        <v/>
      </c>
    </row>
    <row r="62" spans="1:36" ht="15" customHeight="1">
      <c r="A62" s="43">
        <v>57</v>
      </c>
      <c r="B62" s="44" t="str">
        <f>IF('Pipeline Data Input'!D59="","",'Pipeline Data Input'!D59)</f>
        <v/>
      </c>
      <c r="C62" s="44" t="str">
        <f>IF('Pipeline Data Input'!E59="","",'Pipeline Data Input'!E59)</f>
        <v/>
      </c>
      <c r="D62" s="45" t="str">
        <f>IF('Pipeline Data Input'!J59="","",'Pipeline Data Input'!J59)</f>
        <v/>
      </c>
      <c r="E62" s="46">
        <f t="shared" si="26"/>
        <v>0</v>
      </c>
      <c r="F62" s="45" t="str">
        <f>IF('Pipeline Data Input'!B59="","",IFERROR(VLOOKUP('Pipeline Data Input'!B59,'Pipeline Data Input'!$A$66:$B$80,2,FALSE()),'Pipeline Data Input'!B59))</f>
        <v/>
      </c>
      <c r="G62" s="47" t="str">
        <f>IF('Pipeline Data Input'!K59="","",'Pipeline Data Input'!K59)</f>
        <v/>
      </c>
      <c r="H62" s="48">
        <f>IF('Pipeline Data Input'!I59="",0,'Pipeline Data Input'!I59)</f>
        <v>0</v>
      </c>
      <c r="I62" s="49">
        <f t="shared" si="27"/>
        <v>0</v>
      </c>
      <c r="J62" s="50">
        <f>IF('Pipeline Data Input'!F59="",0,'Pipeline Data Input'!F59)</f>
        <v>0</v>
      </c>
      <c r="K62" s="50">
        <f>IF('Pipeline Data Input'!G59="",0,'Pipeline Data Input'!G59)</f>
        <v>0</v>
      </c>
      <c r="L62" s="49">
        <f t="shared" si="28"/>
        <v>0</v>
      </c>
      <c r="M62" s="49">
        <f t="shared" si="29"/>
        <v>0</v>
      </c>
      <c r="N62" s="49">
        <f t="shared" si="30"/>
        <v>0</v>
      </c>
      <c r="O62" s="49">
        <f t="shared" si="31"/>
        <v>0</v>
      </c>
      <c r="P62" s="49">
        <f t="shared" si="32"/>
        <v>0</v>
      </c>
      <c r="Q62" s="49">
        <f t="shared" si="33"/>
        <v>0</v>
      </c>
      <c r="R62" s="49">
        <f t="shared" si="34"/>
        <v>0</v>
      </c>
      <c r="S62" s="49">
        <f t="shared" si="35"/>
        <v>0</v>
      </c>
      <c r="T62" s="51">
        <f t="shared" si="36"/>
        <v>0</v>
      </c>
      <c r="U62" s="49">
        <f t="shared" si="37"/>
        <v>0</v>
      </c>
      <c r="V62" s="49">
        <f t="shared" si="38"/>
        <v>0</v>
      </c>
      <c r="W62" s="49">
        <f t="shared" si="39"/>
        <v>0</v>
      </c>
      <c r="X62" s="49">
        <f t="shared" si="40"/>
        <v>0</v>
      </c>
      <c r="Y62" s="49">
        <f t="shared" si="41"/>
        <v>0</v>
      </c>
      <c r="Z62" s="49">
        <f t="shared" si="42"/>
        <v>0</v>
      </c>
      <c r="AA62" s="49">
        <f t="shared" si="43"/>
        <v>0</v>
      </c>
      <c r="AB62" s="49">
        <f t="shared" si="44"/>
        <v>0</v>
      </c>
      <c r="AC62" s="49">
        <f t="shared" si="45"/>
        <v>0</v>
      </c>
      <c r="AD62" s="49">
        <f t="shared" si="46"/>
        <v>0</v>
      </c>
      <c r="AE62" s="49">
        <f t="shared" si="47"/>
        <v>0</v>
      </c>
      <c r="AF62" s="49">
        <f t="shared" si="48"/>
        <v>0</v>
      </c>
      <c r="AG62" s="51">
        <f t="shared" si="49"/>
        <v>0</v>
      </c>
      <c r="AH62" s="52">
        <f t="shared" si="50"/>
        <v>0</v>
      </c>
      <c r="AI62" s="52">
        <f t="shared" si="51"/>
        <v>0</v>
      </c>
      <c r="AJ62" s="53" t="str">
        <f>IF('Pipeline Data Input'!M59="","",'Pipeline Data Input'!M59)</f>
        <v/>
      </c>
    </row>
    <row r="63" spans="1:36" ht="15" customHeight="1">
      <c r="A63" s="43">
        <v>58</v>
      </c>
      <c r="B63" s="44" t="str">
        <f>IF('Pipeline Data Input'!D60="","",'Pipeline Data Input'!D60)</f>
        <v/>
      </c>
      <c r="C63" s="44" t="str">
        <f>IF('Pipeline Data Input'!E60="","",'Pipeline Data Input'!E60)</f>
        <v/>
      </c>
      <c r="D63" s="45" t="str">
        <f>IF('Pipeline Data Input'!J60="","",'Pipeline Data Input'!J60)</f>
        <v/>
      </c>
      <c r="E63" s="46">
        <f t="shared" si="26"/>
        <v>0</v>
      </c>
      <c r="F63" s="45" t="str">
        <f>IF('Pipeline Data Input'!B60="","",IFERROR(VLOOKUP('Pipeline Data Input'!B60,'Pipeline Data Input'!$A$66:$B$80,2,FALSE()),'Pipeline Data Input'!B60))</f>
        <v/>
      </c>
      <c r="G63" s="47" t="str">
        <f>IF('Pipeline Data Input'!K60="","",'Pipeline Data Input'!K60)</f>
        <v/>
      </c>
      <c r="H63" s="48">
        <f>IF('Pipeline Data Input'!I60="",0,'Pipeline Data Input'!I60)</f>
        <v>0</v>
      </c>
      <c r="I63" s="49">
        <f t="shared" si="27"/>
        <v>0</v>
      </c>
      <c r="J63" s="50">
        <f>IF('Pipeline Data Input'!F60="",0,'Pipeline Data Input'!F60)</f>
        <v>0</v>
      </c>
      <c r="K63" s="50">
        <f>IF('Pipeline Data Input'!G60="",0,'Pipeline Data Input'!G60)</f>
        <v>0</v>
      </c>
      <c r="L63" s="49">
        <f t="shared" si="28"/>
        <v>0</v>
      </c>
      <c r="M63" s="49">
        <f t="shared" si="29"/>
        <v>0</v>
      </c>
      <c r="N63" s="49">
        <f t="shared" si="30"/>
        <v>0</v>
      </c>
      <c r="O63" s="49">
        <f t="shared" si="31"/>
        <v>0</v>
      </c>
      <c r="P63" s="49">
        <f t="shared" si="32"/>
        <v>0</v>
      </c>
      <c r="Q63" s="49">
        <f t="shared" si="33"/>
        <v>0</v>
      </c>
      <c r="R63" s="49">
        <f t="shared" si="34"/>
        <v>0</v>
      </c>
      <c r="S63" s="49">
        <f t="shared" si="35"/>
        <v>0</v>
      </c>
      <c r="T63" s="51">
        <f t="shared" si="36"/>
        <v>0</v>
      </c>
      <c r="U63" s="49">
        <f t="shared" si="37"/>
        <v>0</v>
      </c>
      <c r="V63" s="49">
        <f t="shared" si="38"/>
        <v>0</v>
      </c>
      <c r="W63" s="49">
        <f t="shared" si="39"/>
        <v>0</v>
      </c>
      <c r="X63" s="49">
        <f t="shared" si="40"/>
        <v>0</v>
      </c>
      <c r="Y63" s="49">
        <f t="shared" si="41"/>
        <v>0</v>
      </c>
      <c r="Z63" s="49">
        <f t="shared" si="42"/>
        <v>0</v>
      </c>
      <c r="AA63" s="49">
        <f t="shared" si="43"/>
        <v>0</v>
      </c>
      <c r="AB63" s="49">
        <f t="shared" si="44"/>
        <v>0</v>
      </c>
      <c r="AC63" s="49">
        <f t="shared" si="45"/>
        <v>0</v>
      </c>
      <c r="AD63" s="49">
        <f t="shared" si="46"/>
        <v>0</v>
      </c>
      <c r="AE63" s="49">
        <f t="shared" si="47"/>
        <v>0</v>
      </c>
      <c r="AF63" s="49">
        <f t="shared" si="48"/>
        <v>0</v>
      </c>
      <c r="AG63" s="51">
        <f t="shared" si="49"/>
        <v>0</v>
      </c>
      <c r="AH63" s="52">
        <f t="shared" si="50"/>
        <v>0</v>
      </c>
      <c r="AI63" s="52">
        <f t="shared" si="51"/>
        <v>0</v>
      </c>
      <c r="AJ63" s="53" t="str">
        <f>IF('Pipeline Data Input'!M60="","",'Pipeline Data Input'!M60)</f>
        <v/>
      </c>
    </row>
    <row r="64" spans="1:36" ht="15" customHeight="1">
      <c r="A64" s="43">
        <v>59</v>
      </c>
      <c r="B64" s="44" t="str">
        <f>IF('Pipeline Data Input'!D61="","",'Pipeline Data Input'!D61)</f>
        <v/>
      </c>
      <c r="C64" s="44" t="str">
        <f>IF('Pipeline Data Input'!E61="","",'Pipeline Data Input'!E61)</f>
        <v/>
      </c>
      <c r="D64" s="45" t="str">
        <f>IF('Pipeline Data Input'!J61="","",'Pipeline Data Input'!J61)</f>
        <v/>
      </c>
      <c r="E64" s="46">
        <f t="shared" si="26"/>
        <v>0</v>
      </c>
      <c r="F64" s="45" t="str">
        <f>IF('Pipeline Data Input'!B61="","",IFERROR(VLOOKUP('Pipeline Data Input'!B61,'Pipeline Data Input'!$A$66:$B$80,2,FALSE()),'Pipeline Data Input'!B61))</f>
        <v/>
      </c>
      <c r="G64" s="47" t="str">
        <f>IF('Pipeline Data Input'!K61="","",'Pipeline Data Input'!K61)</f>
        <v/>
      </c>
      <c r="H64" s="48">
        <f>IF('Pipeline Data Input'!I61="",0,'Pipeline Data Input'!I61)</f>
        <v>0</v>
      </c>
      <c r="I64" s="49">
        <f t="shared" si="27"/>
        <v>0</v>
      </c>
      <c r="J64" s="50">
        <f>IF('Pipeline Data Input'!F61="",0,'Pipeline Data Input'!F61)</f>
        <v>0</v>
      </c>
      <c r="K64" s="50">
        <f>IF('Pipeline Data Input'!G61="",0,'Pipeline Data Input'!G61)</f>
        <v>0</v>
      </c>
      <c r="L64" s="49">
        <f t="shared" si="28"/>
        <v>0</v>
      </c>
      <c r="M64" s="49">
        <f t="shared" si="29"/>
        <v>0</v>
      </c>
      <c r="N64" s="49">
        <f t="shared" si="30"/>
        <v>0</v>
      </c>
      <c r="O64" s="49">
        <f t="shared" si="31"/>
        <v>0</v>
      </c>
      <c r="P64" s="49">
        <f t="shared" si="32"/>
        <v>0</v>
      </c>
      <c r="Q64" s="49">
        <f t="shared" si="33"/>
        <v>0</v>
      </c>
      <c r="R64" s="49">
        <f t="shared" si="34"/>
        <v>0</v>
      </c>
      <c r="S64" s="49">
        <f t="shared" si="35"/>
        <v>0</v>
      </c>
      <c r="T64" s="51">
        <f t="shared" si="36"/>
        <v>0</v>
      </c>
      <c r="U64" s="49">
        <f t="shared" si="37"/>
        <v>0</v>
      </c>
      <c r="V64" s="49">
        <f t="shared" si="38"/>
        <v>0</v>
      </c>
      <c r="W64" s="49">
        <f t="shared" si="39"/>
        <v>0</v>
      </c>
      <c r="X64" s="49">
        <f t="shared" si="40"/>
        <v>0</v>
      </c>
      <c r="Y64" s="49">
        <f t="shared" si="41"/>
        <v>0</v>
      </c>
      <c r="Z64" s="49">
        <f t="shared" si="42"/>
        <v>0</v>
      </c>
      <c r="AA64" s="49">
        <f t="shared" si="43"/>
        <v>0</v>
      </c>
      <c r="AB64" s="49">
        <f t="shared" si="44"/>
        <v>0</v>
      </c>
      <c r="AC64" s="49">
        <f t="shared" si="45"/>
        <v>0</v>
      </c>
      <c r="AD64" s="49">
        <f t="shared" si="46"/>
        <v>0</v>
      </c>
      <c r="AE64" s="49">
        <f t="shared" si="47"/>
        <v>0</v>
      </c>
      <c r="AF64" s="49">
        <f t="shared" si="48"/>
        <v>0</v>
      </c>
      <c r="AG64" s="51">
        <f t="shared" si="49"/>
        <v>0</v>
      </c>
      <c r="AH64" s="52">
        <f t="shared" si="50"/>
        <v>0</v>
      </c>
      <c r="AI64" s="52">
        <f t="shared" si="51"/>
        <v>0</v>
      </c>
      <c r="AJ64" s="53" t="str">
        <f>IF('Pipeline Data Input'!M61="","",'Pipeline Data Input'!M61)</f>
        <v/>
      </c>
    </row>
    <row r="65" spans="1:36" ht="15" customHeight="1">
      <c r="A65" s="43">
        <v>60</v>
      </c>
      <c r="B65" s="44" t="str">
        <f>IF('Pipeline Data Input'!D62="","",'Pipeline Data Input'!D62)</f>
        <v/>
      </c>
      <c r="C65" s="44" t="str">
        <f>IF('Pipeline Data Input'!E62="","",'Pipeline Data Input'!E62)</f>
        <v/>
      </c>
      <c r="D65" s="45" t="str">
        <f>IF('Pipeline Data Input'!J62="","",'Pipeline Data Input'!J62)</f>
        <v/>
      </c>
      <c r="E65" s="46">
        <f t="shared" si="26"/>
        <v>0</v>
      </c>
      <c r="F65" s="45" t="str">
        <f>IF('Pipeline Data Input'!B62="","",IFERROR(VLOOKUP('Pipeline Data Input'!B62,'Pipeline Data Input'!$A$66:$B$80,2,FALSE()),'Pipeline Data Input'!B62))</f>
        <v/>
      </c>
      <c r="G65" s="47" t="str">
        <f>IF('Pipeline Data Input'!K62="","",'Pipeline Data Input'!K62)</f>
        <v/>
      </c>
      <c r="H65" s="48">
        <f>IF('Pipeline Data Input'!I62="",0,'Pipeline Data Input'!I62)</f>
        <v>0</v>
      </c>
      <c r="I65" s="49">
        <f t="shared" si="27"/>
        <v>0</v>
      </c>
      <c r="J65" s="50">
        <f>IF('Pipeline Data Input'!F62="",0,'Pipeline Data Input'!F62)</f>
        <v>0</v>
      </c>
      <c r="K65" s="50">
        <f>IF('Pipeline Data Input'!G62="",0,'Pipeline Data Input'!G62)</f>
        <v>0</v>
      </c>
      <c r="L65" s="49">
        <f t="shared" si="28"/>
        <v>0</v>
      </c>
      <c r="M65" s="49">
        <f t="shared" si="29"/>
        <v>0</v>
      </c>
      <c r="N65" s="49">
        <f t="shared" si="30"/>
        <v>0</v>
      </c>
      <c r="O65" s="49">
        <f t="shared" si="31"/>
        <v>0</v>
      </c>
      <c r="P65" s="49">
        <f t="shared" si="32"/>
        <v>0</v>
      </c>
      <c r="Q65" s="49">
        <f t="shared" si="33"/>
        <v>0</v>
      </c>
      <c r="R65" s="49">
        <f t="shared" si="34"/>
        <v>0</v>
      </c>
      <c r="S65" s="49">
        <f t="shared" si="35"/>
        <v>0</v>
      </c>
      <c r="T65" s="51">
        <f t="shared" si="36"/>
        <v>0</v>
      </c>
      <c r="U65" s="49">
        <f t="shared" si="37"/>
        <v>0</v>
      </c>
      <c r="V65" s="49">
        <f t="shared" si="38"/>
        <v>0</v>
      </c>
      <c r="W65" s="49">
        <f t="shared" si="39"/>
        <v>0</v>
      </c>
      <c r="X65" s="49">
        <f t="shared" si="40"/>
        <v>0</v>
      </c>
      <c r="Y65" s="49">
        <f t="shared" si="41"/>
        <v>0</v>
      </c>
      <c r="Z65" s="49">
        <f t="shared" si="42"/>
        <v>0</v>
      </c>
      <c r="AA65" s="49">
        <f t="shared" si="43"/>
        <v>0</v>
      </c>
      <c r="AB65" s="49">
        <f t="shared" si="44"/>
        <v>0</v>
      </c>
      <c r="AC65" s="49">
        <f t="shared" si="45"/>
        <v>0</v>
      </c>
      <c r="AD65" s="49">
        <f t="shared" si="46"/>
        <v>0</v>
      </c>
      <c r="AE65" s="49">
        <f t="shared" si="47"/>
        <v>0</v>
      </c>
      <c r="AF65" s="49">
        <f t="shared" si="48"/>
        <v>0</v>
      </c>
      <c r="AG65" s="51">
        <f t="shared" si="49"/>
        <v>0</v>
      </c>
      <c r="AH65" s="52">
        <f t="shared" si="50"/>
        <v>0</v>
      </c>
      <c r="AI65" s="52">
        <f t="shared" si="51"/>
        <v>0</v>
      </c>
      <c r="AJ65" s="53" t="str">
        <f>IF('Pipeline Data Input'!M62="","",'Pipeline Data Input'!M62)</f>
        <v/>
      </c>
    </row>
    <row r="66" spans="1:36" ht="15" customHeight="1">
      <c r="A66" s="54"/>
      <c r="B66" s="55" t="s">
        <v>124</v>
      </c>
      <c r="C66" s="54"/>
      <c r="D66" s="54"/>
      <c r="E66" s="54"/>
      <c r="F66" s="54"/>
      <c r="G66" s="54"/>
      <c r="H66" s="56">
        <f t="shared" ref="H66:S66" si="52">SUM(H6:H65)</f>
        <v>42367332</v>
      </c>
      <c r="I66" s="56">
        <f t="shared" si="52"/>
        <v>21328363</v>
      </c>
      <c r="J66" s="57">
        <f t="shared" si="52"/>
        <v>49820</v>
      </c>
      <c r="K66" s="57">
        <f t="shared" si="52"/>
        <v>26145</v>
      </c>
      <c r="L66" s="56">
        <f t="shared" si="52"/>
        <v>1016669.3333333334</v>
      </c>
      <c r="M66" s="56">
        <f t="shared" si="52"/>
        <v>1696194.3333333335</v>
      </c>
      <c r="N66" s="56">
        <f t="shared" si="52"/>
        <v>2678777.6666666665</v>
      </c>
      <c r="O66" s="56">
        <f t="shared" si="52"/>
        <v>2831277.6666666665</v>
      </c>
      <c r="P66" s="56">
        <f t="shared" si="52"/>
        <v>3022111</v>
      </c>
      <c r="Q66" s="56">
        <f t="shared" si="52"/>
        <v>3022111</v>
      </c>
      <c r="R66" s="56">
        <f t="shared" si="52"/>
        <v>3530611</v>
      </c>
      <c r="S66" s="56">
        <f t="shared" si="52"/>
        <v>3530611</v>
      </c>
      <c r="T66" s="58">
        <f t="shared" si="36"/>
        <v>21328363</v>
      </c>
      <c r="U66" s="56">
        <f t="shared" ref="U66:AF66" si="53">SUM(U6:U65)</f>
        <v>3530611</v>
      </c>
      <c r="V66" s="56">
        <f t="shared" si="53"/>
        <v>3530611</v>
      </c>
      <c r="W66" s="56">
        <f t="shared" si="53"/>
        <v>3530611</v>
      </c>
      <c r="X66" s="56">
        <f t="shared" si="53"/>
        <v>3530611</v>
      </c>
      <c r="Y66" s="56">
        <f t="shared" si="53"/>
        <v>3530611</v>
      </c>
      <c r="Z66" s="56">
        <f t="shared" si="53"/>
        <v>3530611</v>
      </c>
      <c r="AA66" s="56">
        <f t="shared" si="53"/>
        <v>3530611</v>
      </c>
      <c r="AB66" s="56">
        <f t="shared" si="53"/>
        <v>3530611</v>
      </c>
      <c r="AC66" s="56">
        <f t="shared" si="53"/>
        <v>3530611</v>
      </c>
      <c r="AD66" s="56">
        <f t="shared" si="53"/>
        <v>3530611</v>
      </c>
      <c r="AE66" s="56">
        <f t="shared" si="53"/>
        <v>3530611</v>
      </c>
      <c r="AF66" s="56">
        <f t="shared" si="53"/>
        <v>3530611</v>
      </c>
      <c r="AG66" s="58">
        <f t="shared" si="49"/>
        <v>42367332</v>
      </c>
      <c r="AH66" s="56">
        <f t="shared" si="50"/>
        <v>63695695</v>
      </c>
      <c r="AI66" s="54"/>
      <c r="AJ66" s="54"/>
    </row>
    <row r="67" spans="1:36" ht="15" customHeight="1">
      <c r="A67" s="54"/>
      <c r="B67" s="55" t="s">
        <v>125</v>
      </c>
      <c r="C67" s="54"/>
      <c r="D67" s="54"/>
      <c r="E67" s="54"/>
      <c r="F67" s="54"/>
      <c r="G67" s="54"/>
      <c r="H67" s="56">
        <f>SUMPRODUCT(E6:E65,H6:H65)</f>
        <v>28448479.200000003</v>
      </c>
      <c r="I67" s="56">
        <f>SUMPRODUCT(E6:E65,I6:I65)</f>
        <v>14884234.466666669</v>
      </c>
      <c r="J67" s="57">
        <f>SUM(J6:J65)</f>
        <v>49820</v>
      </c>
      <c r="K67" s="57">
        <f>SUM(K6:K65)</f>
        <v>26145</v>
      </c>
      <c r="L67" s="56">
        <f>SUMPRODUCT(E6:E65,L6:L65)</f>
        <v>861463.2666666666</v>
      </c>
      <c r="M67" s="56">
        <f>SUMPRODUCT(E6:E65,M6:M65)</f>
        <v>1339431.6000000003</v>
      </c>
      <c r="N67" s="56">
        <f>SUMPRODUCT(E6:E65,N6:N65)</f>
        <v>1859606.6</v>
      </c>
      <c r="O67" s="56">
        <f>SUMPRODUCT(E6:E65,O6:O65)</f>
        <v>1951106.6</v>
      </c>
      <c r="P67" s="56">
        <f>SUMPRODUCT(E6:E65,P6:P65)</f>
        <v>2065606.6</v>
      </c>
      <c r="Q67" s="56">
        <f>SUMPRODUCT(E6:E65,Q6:Q65)</f>
        <v>2065606.6</v>
      </c>
      <c r="R67" s="56">
        <f>SUMPRODUCT(E6:E65,R6:R65)</f>
        <v>2370706.6</v>
      </c>
      <c r="S67" s="56">
        <f>SUMPRODUCT(E6:E65,S6:S65)</f>
        <v>2370706.6</v>
      </c>
      <c r="T67" s="58">
        <f t="shared" si="36"/>
        <v>14884234.466666667</v>
      </c>
      <c r="U67" s="56">
        <f>SUMPRODUCT(E6:E65,U6:U65)</f>
        <v>2370706.6</v>
      </c>
      <c r="V67" s="56">
        <f>SUMPRODUCT(E6:E65,V6:V65)</f>
        <v>2370706.6</v>
      </c>
      <c r="W67" s="56">
        <f>SUMPRODUCT(E6:E65,W6:W65)</f>
        <v>2370706.6</v>
      </c>
      <c r="X67" s="56">
        <f>SUMPRODUCT(E6:E65,X6:X65)</f>
        <v>2370706.6</v>
      </c>
      <c r="Y67" s="56">
        <f>SUMPRODUCT(E6:E65,Y6:Y65)</f>
        <v>2370706.6</v>
      </c>
      <c r="Z67" s="56">
        <f>SUMPRODUCT(E6:E65,Z6:Z65)</f>
        <v>2370706.6</v>
      </c>
      <c r="AA67" s="56">
        <f>SUMPRODUCT(E6:E65,AA6:AA65)</f>
        <v>2370706.6</v>
      </c>
      <c r="AB67" s="56">
        <f>SUMPRODUCT(E6:E65,AB6:AB65)</f>
        <v>2370706.6</v>
      </c>
      <c r="AC67" s="56">
        <f>SUMPRODUCT(E6:E65,AC6:AC65)</f>
        <v>2370706.6</v>
      </c>
      <c r="AD67" s="56">
        <f>SUMPRODUCT(E6:E65,AD6:AD65)</f>
        <v>2370706.6</v>
      </c>
      <c r="AE67" s="56">
        <f>SUMPRODUCT(E6:E65,AE6:AE65)</f>
        <v>2370706.6</v>
      </c>
      <c r="AF67" s="56">
        <f>SUMPRODUCT(E6:E65,AF6:AF65)</f>
        <v>2370706.6</v>
      </c>
      <c r="AG67" s="58">
        <f t="shared" si="49"/>
        <v>28448479.200000007</v>
      </c>
      <c r="AH67" s="56">
        <f t="shared" si="50"/>
        <v>43332713.666666672</v>
      </c>
      <c r="AI67" s="54"/>
      <c r="AJ67" s="54"/>
    </row>
    <row r="68" spans="1:36" ht="15" customHeight="1">
      <c r="A68" s="43"/>
      <c r="B68" s="59"/>
      <c r="C68" s="59"/>
      <c r="D68" s="60"/>
      <c r="E68" s="61"/>
      <c r="F68" s="60"/>
      <c r="G68" s="62"/>
      <c r="H68" s="63"/>
      <c r="I68" s="49"/>
      <c r="J68" s="64"/>
      <c r="K68" s="64"/>
      <c r="L68" s="49"/>
      <c r="M68" s="49"/>
      <c r="N68" s="49"/>
      <c r="O68" s="49"/>
      <c r="P68" s="49"/>
      <c r="Q68" s="49"/>
      <c r="R68" s="49"/>
      <c r="S68" s="49"/>
      <c r="T68" s="51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51"/>
      <c r="AH68" s="52"/>
      <c r="AI68" s="52"/>
      <c r="AJ68" s="53"/>
    </row>
    <row r="69" spans="1:36" ht="40.5" customHeight="1">
      <c r="A69" s="477" t="s">
        <v>126</v>
      </c>
      <c r="B69" s="477"/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77"/>
      <c r="R69" s="477"/>
      <c r="S69" s="477"/>
      <c r="T69" s="477"/>
      <c r="U69" s="477"/>
      <c r="V69" s="477"/>
      <c r="W69" s="477"/>
      <c r="X69" s="477"/>
      <c r="Y69" s="477"/>
      <c r="Z69" s="477"/>
      <c r="AA69" s="477"/>
      <c r="AB69" s="477"/>
      <c r="AC69" s="477"/>
      <c r="AD69" s="477"/>
      <c r="AE69" s="477"/>
      <c r="AF69" s="477"/>
      <c r="AG69" s="477"/>
      <c r="AH69" s="477"/>
      <c r="AI69" s="477"/>
      <c r="AJ69" s="477"/>
    </row>
    <row r="70" spans="1:36" ht="28.5" customHeight="1">
      <c r="A70" s="40" t="s">
        <v>25</v>
      </c>
      <c r="B70" s="40" t="s">
        <v>127</v>
      </c>
      <c r="C70" s="40" t="s">
        <v>92</v>
      </c>
      <c r="D70" s="40" t="s">
        <v>10</v>
      </c>
      <c r="E70" s="40" t="s">
        <v>11</v>
      </c>
      <c r="F70" s="40" t="s">
        <v>93</v>
      </c>
      <c r="G70" s="40" t="s">
        <v>94</v>
      </c>
      <c r="H70" s="42" t="s">
        <v>128</v>
      </c>
      <c r="I70" s="40" t="s">
        <v>129</v>
      </c>
      <c r="J70" s="40" t="s">
        <v>97</v>
      </c>
      <c r="K70" s="40" t="s">
        <v>98</v>
      </c>
      <c r="L70" s="40" t="s">
        <v>99</v>
      </c>
      <c r="M70" s="40" t="s">
        <v>100</v>
      </c>
      <c r="N70" s="40" t="s">
        <v>101</v>
      </c>
      <c r="O70" s="40" t="s">
        <v>102</v>
      </c>
      <c r="P70" s="40" t="s">
        <v>103</v>
      </c>
      <c r="Q70" s="40" t="s">
        <v>104</v>
      </c>
      <c r="R70" s="40" t="s">
        <v>105</v>
      </c>
      <c r="S70" s="40" t="s">
        <v>106</v>
      </c>
      <c r="T70" s="40" t="s">
        <v>107</v>
      </c>
      <c r="U70" s="40" t="s">
        <v>108</v>
      </c>
      <c r="V70" s="40" t="s">
        <v>109</v>
      </c>
      <c r="W70" s="40" t="s">
        <v>110</v>
      </c>
      <c r="X70" s="40" t="s">
        <v>111</v>
      </c>
      <c r="Y70" s="40" t="s">
        <v>112</v>
      </c>
      <c r="Z70" s="40" t="s">
        <v>113</v>
      </c>
      <c r="AA70" s="40" t="s">
        <v>114</v>
      </c>
      <c r="AB70" s="40" t="s">
        <v>115</v>
      </c>
      <c r="AC70" s="40" t="s">
        <v>116</v>
      </c>
      <c r="AD70" s="40" t="s">
        <v>117</v>
      </c>
      <c r="AE70" s="40" t="s">
        <v>118</v>
      </c>
      <c r="AF70" s="40" t="s">
        <v>119</v>
      </c>
      <c r="AG70" s="40" t="s">
        <v>120</v>
      </c>
      <c r="AH70" s="40" t="s">
        <v>121</v>
      </c>
      <c r="AI70" s="40" t="s">
        <v>122</v>
      </c>
      <c r="AJ70" s="41" t="s">
        <v>123</v>
      </c>
    </row>
    <row r="71" spans="1:36" ht="15" customHeight="1">
      <c r="A71" s="43">
        <v>1</v>
      </c>
      <c r="B71" s="59" t="str">
        <f t="shared" ref="B71:G80" si="54">IF(B6="","",B6)</f>
        <v>SLB</v>
      </c>
      <c r="C71" s="59" t="str">
        <f t="shared" si="54"/>
        <v>Yazan Darwish</v>
      </c>
      <c r="D71" s="60" t="str">
        <f t="shared" si="54"/>
        <v>Prospecting</v>
      </c>
      <c r="E71" s="61">
        <f t="shared" si="54"/>
        <v>0.2</v>
      </c>
      <c r="F71" s="60" t="str">
        <f t="shared" si="54"/>
        <v>Dammam 2nd Ind -Tad WH</v>
      </c>
      <c r="G71" s="62">
        <f t="shared" si="54"/>
        <v>46204</v>
      </c>
      <c r="H71" s="63">
        <v>0.75</v>
      </c>
      <c r="I71" s="49">
        <f t="shared" ref="I71:I102" si="55">IF(OR(H71="",H6=""),0,H71*H6)</f>
        <v>1800000</v>
      </c>
      <c r="J71" s="64">
        <f t="shared" ref="J71:K90" si="56">IF(J6="","",J6)</f>
        <v>4000</v>
      </c>
      <c r="K71" s="64">
        <f t="shared" si="56"/>
        <v>0</v>
      </c>
      <c r="L71" s="49">
        <f t="shared" ref="L71:L102" si="57">IF(OR(G71="",I71=0),0,IF(DATE(2026,5,1)&gt;=DATE(YEAR(G71),MONTH(G71),1),I71/12,0))</f>
        <v>0</v>
      </c>
      <c r="M71" s="49">
        <f t="shared" ref="M71:M102" si="58">IF(OR(G71="",I71=0),0,IF(DATE(2026,6,1)&gt;=DATE(YEAR(G71),MONTH(G71),1),I71/12,0))</f>
        <v>0</v>
      </c>
      <c r="N71" s="49">
        <f t="shared" ref="N71:N102" si="59">IF(OR(G71="",I71=0),0,IF(DATE(2026,7,1)&gt;=DATE(YEAR(G71),MONTH(G71),1),I71/12,0))</f>
        <v>150000</v>
      </c>
      <c r="O71" s="49">
        <f t="shared" ref="O71:O102" si="60">IF(OR(G71="",I71=0),0,IF(DATE(2026,8,1)&gt;=DATE(YEAR(G71),MONTH(G71),1),I71/12,0))</f>
        <v>150000</v>
      </c>
      <c r="P71" s="49">
        <f t="shared" ref="P71:P102" si="61">IF(OR(G71="",I71=0),0,IF(DATE(2026,9,1)&gt;=DATE(YEAR(G71),MONTH(G71),1),I71/12,0))</f>
        <v>150000</v>
      </c>
      <c r="Q71" s="49">
        <f t="shared" ref="Q71:Q102" si="62">IF(OR(G71="",I71=0),0,IF(DATE(2026,10,1)&gt;=DATE(YEAR(G71),MONTH(G71),1),I71/12,0))</f>
        <v>150000</v>
      </c>
      <c r="R71" s="49">
        <f t="shared" ref="R71:R102" si="63">IF(OR(G71="",I71=0),0,IF(DATE(2026,11,1)&gt;=DATE(YEAR(G71),MONTH(G71),1),I71/12,0))</f>
        <v>150000</v>
      </c>
      <c r="S71" s="49">
        <f t="shared" ref="S71:S102" si="64">IF(OR(G71="",I71=0),0,IF(DATE(2026,12,1)&gt;=DATE(YEAR(G71),MONTH(G71),1),I71/12,0))</f>
        <v>150000</v>
      </c>
      <c r="T71" s="51">
        <f t="shared" ref="T71:T102" si="65">SUM(L71:S71)</f>
        <v>900000</v>
      </c>
      <c r="U71" s="49">
        <f t="shared" ref="U71:U102" si="66">IF(OR(G71="",I71=0),0,IF(DATE(2027,1,1)&gt;=DATE(YEAR(G71),MONTH(G71),1),I71/12,0))</f>
        <v>150000</v>
      </c>
      <c r="V71" s="49">
        <f t="shared" ref="V71:V102" si="67">IF(OR(G71="",I71=0),0,IF(DATE(2027,2,1)&gt;=DATE(YEAR(G71),MONTH(G71),1),I71/12,0))</f>
        <v>150000</v>
      </c>
      <c r="W71" s="49">
        <f t="shared" ref="W71:W102" si="68">IF(OR(G71="",I71=0),0,IF(DATE(2027,3,1)&gt;=DATE(YEAR(G71),MONTH(G71),1),I71/12,0))</f>
        <v>150000</v>
      </c>
      <c r="X71" s="49">
        <f t="shared" ref="X71:X102" si="69">IF(OR(G71="",I71=0),0,IF(DATE(2027,4,1)&gt;=DATE(YEAR(G71),MONTH(G71),1),I71/12,0))</f>
        <v>150000</v>
      </c>
      <c r="Y71" s="49">
        <f t="shared" ref="Y71:Y102" si="70">IF(OR(G71="",I71=0),0,IF(DATE(2027,5,1)&gt;=DATE(YEAR(G71),MONTH(G71),1),I71/12,0))</f>
        <v>150000</v>
      </c>
      <c r="Z71" s="49">
        <f t="shared" ref="Z71:Z102" si="71">IF(OR(G71="",I71=0),0,IF(DATE(2027,6,1)&gt;=DATE(YEAR(G71),MONTH(G71),1),I71/12,0))</f>
        <v>150000</v>
      </c>
      <c r="AA71" s="49">
        <f t="shared" ref="AA71:AA102" si="72">IF(OR(G71="",I71=0),0,IF(DATE(2027,7,1)&gt;=DATE(YEAR(G71),MONTH(G71),1),I71/12,0))</f>
        <v>150000</v>
      </c>
      <c r="AB71" s="49">
        <f t="shared" ref="AB71:AB102" si="73">IF(OR(G71="",I71=0),0,IF(DATE(2027,8,1)&gt;=DATE(YEAR(G71),MONTH(G71),1),I71/12,0))</f>
        <v>150000</v>
      </c>
      <c r="AC71" s="49">
        <f t="shared" ref="AC71:AC102" si="74">IF(OR(G71="",I71=0),0,IF(DATE(2027,9,1)&gt;=DATE(YEAR(G71),MONTH(G71),1),I71/12,0))</f>
        <v>150000</v>
      </c>
      <c r="AD71" s="49">
        <f t="shared" ref="AD71:AD102" si="75">IF(OR(G71="",I71=0),0,IF(DATE(2027,10,1)&gt;=DATE(YEAR(G71),MONTH(G71),1),I71/12,0))</f>
        <v>150000</v>
      </c>
      <c r="AE71" s="49">
        <f t="shared" ref="AE71:AE102" si="76">IF(OR(G71="",I71=0),0,IF(DATE(2027,11,1)&gt;=DATE(YEAR(G71),MONTH(G71),1),I71/12,0))</f>
        <v>150000</v>
      </c>
      <c r="AF71" s="49">
        <f t="shared" ref="AF71:AF102" si="77">IF(OR(G71="",I71=0),0,IF(DATE(2027,12,1)&gt;=DATE(YEAR(G71),MONTH(G71),1),I71/12,0))</f>
        <v>150000</v>
      </c>
      <c r="AG71" s="51">
        <f t="shared" ref="AG71:AG102" si="78">SUM(U71:AF71)</f>
        <v>1800000</v>
      </c>
      <c r="AH71" s="52">
        <f t="shared" ref="AH71:AH102" si="79">T71+AG71</f>
        <v>2700000</v>
      </c>
      <c r="AI71" s="52">
        <f t="shared" ref="AI71:AI102" si="80">IF(OR(E71="",AH71=""),"",E71*AH71)</f>
        <v>540000</v>
      </c>
      <c r="AJ71" s="53"/>
    </row>
    <row r="72" spans="1:36" ht="15" customHeight="1">
      <c r="A72" s="43">
        <v>2</v>
      </c>
      <c r="B72" s="59" t="str">
        <f t="shared" si="54"/>
        <v>NALCO Ecolab</v>
      </c>
      <c r="C72" s="59" t="str">
        <f t="shared" si="54"/>
        <v>Yazan Darwish</v>
      </c>
      <c r="D72" s="60" t="str">
        <f t="shared" si="54"/>
        <v>Contract Negotiation</v>
      </c>
      <c r="E72" s="61">
        <f t="shared" si="54"/>
        <v>0.9</v>
      </c>
      <c r="F72" s="60" t="str">
        <f t="shared" si="54"/>
        <v>Dammam 2nd Ind -Tad WH</v>
      </c>
      <c r="G72" s="62">
        <f t="shared" si="54"/>
        <v>46174</v>
      </c>
      <c r="H72" s="63">
        <v>0.75</v>
      </c>
      <c r="I72" s="49">
        <f t="shared" si="55"/>
        <v>1800000</v>
      </c>
      <c r="J72" s="64">
        <f t="shared" si="56"/>
        <v>4000</v>
      </c>
      <c r="K72" s="64">
        <f t="shared" si="56"/>
        <v>0</v>
      </c>
      <c r="L72" s="49">
        <f t="shared" si="57"/>
        <v>0</v>
      </c>
      <c r="M72" s="49">
        <f t="shared" si="58"/>
        <v>150000</v>
      </c>
      <c r="N72" s="49">
        <f t="shared" si="59"/>
        <v>150000</v>
      </c>
      <c r="O72" s="49">
        <f t="shared" si="60"/>
        <v>150000</v>
      </c>
      <c r="P72" s="49">
        <f t="shared" si="61"/>
        <v>150000</v>
      </c>
      <c r="Q72" s="49">
        <f t="shared" si="62"/>
        <v>150000</v>
      </c>
      <c r="R72" s="49">
        <f t="shared" si="63"/>
        <v>150000</v>
      </c>
      <c r="S72" s="49">
        <f t="shared" si="64"/>
        <v>150000</v>
      </c>
      <c r="T72" s="51">
        <f t="shared" si="65"/>
        <v>1050000</v>
      </c>
      <c r="U72" s="49">
        <f t="shared" si="66"/>
        <v>150000</v>
      </c>
      <c r="V72" s="49">
        <f t="shared" si="67"/>
        <v>150000</v>
      </c>
      <c r="W72" s="49">
        <f t="shared" si="68"/>
        <v>150000</v>
      </c>
      <c r="X72" s="49">
        <f t="shared" si="69"/>
        <v>150000</v>
      </c>
      <c r="Y72" s="49">
        <f t="shared" si="70"/>
        <v>150000</v>
      </c>
      <c r="Z72" s="49">
        <f t="shared" si="71"/>
        <v>150000</v>
      </c>
      <c r="AA72" s="49">
        <f t="shared" si="72"/>
        <v>150000</v>
      </c>
      <c r="AB72" s="49">
        <f t="shared" si="73"/>
        <v>150000</v>
      </c>
      <c r="AC72" s="49">
        <f t="shared" si="74"/>
        <v>150000</v>
      </c>
      <c r="AD72" s="49">
        <f t="shared" si="75"/>
        <v>150000</v>
      </c>
      <c r="AE72" s="49">
        <f t="shared" si="76"/>
        <v>150000</v>
      </c>
      <c r="AF72" s="49">
        <f t="shared" si="77"/>
        <v>150000</v>
      </c>
      <c r="AG72" s="51">
        <f t="shared" si="78"/>
        <v>1800000</v>
      </c>
      <c r="AH72" s="52">
        <f t="shared" si="79"/>
        <v>2850000</v>
      </c>
      <c r="AI72" s="52">
        <f t="shared" si="80"/>
        <v>2565000</v>
      </c>
      <c r="AJ72" s="53"/>
    </row>
    <row r="73" spans="1:36" ht="15" customHeight="1">
      <c r="A73" s="43">
        <v>3</v>
      </c>
      <c r="B73" s="59" t="str">
        <f t="shared" si="54"/>
        <v>Synthomer ME</v>
      </c>
      <c r="C73" s="59" t="str">
        <f t="shared" si="54"/>
        <v>Yazan Darwish</v>
      </c>
      <c r="D73" s="60" t="str">
        <f t="shared" si="54"/>
        <v>Contract Negotiation</v>
      </c>
      <c r="E73" s="61">
        <f t="shared" si="54"/>
        <v>0.9</v>
      </c>
      <c r="F73" s="60" t="str">
        <f t="shared" si="54"/>
        <v>Dammam 2nd Ind -Tad WH</v>
      </c>
      <c r="G73" s="62">
        <f t="shared" si="54"/>
        <v>46157</v>
      </c>
      <c r="H73" s="63">
        <v>0.75</v>
      </c>
      <c r="I73" s="49">
        <f t="shared" si="55"/>
        <v>675000</v>
      </c>
      <c r="J73" s="64">
        <f t="shared" si="56"/>
        <v>1500</v>
      </c>
      <c r="K73" s="64">
        <f t="shared" si="56"/>
        <v>0</v>
      </c>
      <c r="L73" s="49">
        <f t="shared" si="57"/>
        <v>56250</v>
      </c>
      <c r="M73" s="49">
        <f t="shared" si="58"/>
        <v>56250</v>
      </c>
      <c r="N73" s="49">
        <f t="shared" si="59"/>
        <v>56250</v>
      </c>
      <c r="O73" s="49">
        <f t="shared" si="60"/>
        <v>56250</v>
      </c>
      <c r="P73" s="49">
        <f t="shared" si="61"/>
        <v>56250</v>
      </c>
      <c r="Q73" s="49">
        <f t="shared" si="62"/>
        <v>56250</v>
      </c>
      <c r="R73" s="49">
        <f t="shared" si="63"/>
        <v>56250</v>
      </c>
      <c r="S73" s="49">
        <f t="shared" si="64"/>
        <v>56250</v>
      </c>
      <c r="T73" s="51">
        <f t="shared" si="65"/>
        <v>450000</v>
      </c>
      <c r="U73" s="49">
        <f t="shared" si="66"/>
        <v>56250</v>
      </c>
      <c r="V73" s="49">
        <f t="shared" si="67"/>
        <v>56250</v>
      </c>
      <c r="W73" s="49">
        <f t="shared" si="68"/>
        <v>56250</v>
      </c>
      <c r="X73" s="49">
        <f t="shared" si="69"/>
        <v>56250</v>
      </c>
      <c r="Y73" s="49">
        <f t="shared" si="70"/>
        <v>56250</v>
      </c>
      <c r="Z73" s="49">
        <f t="shared" si="71"/>
        <v>56250</v>
      </c>
      <c r="AA73" s="49">
        <f t="shared" si="72"/>
        <v>56250</v>
      </c>
      <c r="AB73" s="49">
        <f t="shared" si="73"/>
        <v>56250</v>
      </c>
      <c r="AC73" s="49">
        <f t="shared" si="74"/>
        <v>56250</v>
      </c>
      <c r="AD73" s="49">
        <f t="shared" si="75"/>
        <v>56250</v>
      </c>
      <c r="AE73" s="49">
        <f t="shared" si="76"/>
        <v>56250</v>
      </c>
      <c r="AF73" s="49">
        <f t="shared" si="77"/>
        <v>56250</v>
      </c>
      <c r="AG73" s="51">
        <f t="shared" si="78"/>
        <v>675000</v>
      </c>
      <c r="AH73" s="52">
        <f t="shared" si="79"/>
        <v>1125000</v>
      </c>
      <c r="AI73" s="52">
        <f t="shared" si="80"/>
        <v>1012500</v>
      </c>
      <c r="AJ73" s="53"/>
    </row>
    <row r="74" spans="1:36" ht="15" customHeight="1">
      <c r="A74" s="43">
        <v>4</v>
      </c>
      <c r="B74" s="59" t="str">
        <f t="shared" si="54"/>
        <v>Transworld Saudi Logistics</v>
      </c>
      <c r="C74" s="59" t="str">
        <f t="shared" si="54"/>
        <v>Yazan Darwish</v>
      </c>
      <c r="D74" s="60" t="str">
        <f t="shared" si="54"/>
        <v>Proposal Sent</v>
      </c>
      <c r="E74" s="61">
        <f t="shared" si="54"/>
        <v>0.6</v>
      </c>
      <c r="F74" s="60" t="str">
        <f t="shared" si="54"/>
        <v>Dammam 2nd Ind -Tad WH</v>
      </c>
      <c r="G74" s="62">
        <f t="shared" si="54"/>
        <v>46143</v>
      </c>
      <c r="H74" s="63">
        <v>0.75</v>
      </c>
      <c r="I74" s="49">
        <f t="shared" si="55"/>
        <v>315000</v>
      </c>
      <c r="J74" s="64">
        <f t="shared" si="56"/>
        <v>500</v>
      </c>
      <c r="K74" s="64">
        <f t="shared" si="56"/>
        <v>0</v>
      </c>
      <c r="L74" s="49">
        <f t="shared" si="57"/>
        <v>26250</v>
      </c>
      <c r="M74" s="49">
        <f t="shared" si="58"/>
        <v>26250</v>
      </c>
      <c r="N74" s="49">
        <f t="shared" si="59"/>
        <v>26250</v>
      </c>
      <c r="O74" s="49">
        <f t="shared" si="60"/>
        <v>26250</v>
      </c>
      <c r="P74" s="49">
        <f t="shared" si="61"/>
        <v>26250</v>
      </c>
      <c r="Q74" s="49">
        <f t="shared" si="62"/>
        <v>26250</v>
      </c>
      <c r="R74" s="49">
        <f t="shared" si="63"/>
        <v>26250</v>
      </c>
      <c r="S74" s="49">
        <f t="shared" si="64"/>
        <v>26250</v>
      </c>
      <c r="T74" s="51">
        <f t="shared" si="65"/>
        <v>210000</v>
      </c>
      <c r="U74" s="49">
        <f t="shared" si="66"/>
        <v>26250</v>
      </c>
      <c r="V74" s="49">
        <f t="shared" si="67"/>
        <v>26250</v>
      </c>
      <c r="W74" s="49">
        <f t="shared" si="68"/>
        <v>26250</v>
      </c>
      <c r="X74" s="49">
        <f t="shared" si="69"/>
        <v>26250</v>
      </c>
      <c r="Y74" s="49">
        <f t="shared" si="70"/>
        <v>26250</v>
      </c>
      <c r="Z74" s="49">
        <f t="shared" si="71"/>
        <v>26250</v>
      </c>
      <c r="AA74" s="49">
        <f t="shared" si="72"/>
        <v>26250</v>
      </c>
      <c r="AB74" s="49">
        <f t="shared" si="73"/>
        <v>26250</v>
      </c>
      <c r="AC74" s="49">
        <f t="shared" si="74"/>
        <v>26250</v>
      </c>
      <c r="AD74" s="49">
        <f t="shared" si="75"/>
        <v>26250</v>
      </c>
      <c r="AE74" s="49">
        <f t="shared" si="76"/>
        <v>26250</v>
      </c>
      <c r="AF74" s="49">
        <f t="shared" si="77"/>
        <v>26250</v>
      </c>
      <c r="AG74" s="51">
        <f t="shared" si="78"/>
        <v>315000</v>
      </c>
      <c r="AH74" s="52">
        <f t="shared" si="79"/>
        <v>525000</v>
      </c>
      <c r="AI74" s="52">
        <f t="shared" si="80"/>
        <v>315000</v>
      </c>
      <c r="AJ74" s="53"/>
    </row>
    <row r="75" spans="1:36" ht="15" customHeight="1">
      <c r="A75" s="43">
        <v>5</v>
      </c>
      <c r="B75" s="59" t="str">
        <f t="shared" si="54"/>
        <v>Schmidt</v>
      </c>
      <c r="C75" s="59" t="str">
        <f t="shared" si="54"/>
        <v>Yazan Darwish</v>
      </c>
      <c r="D75" s="60" t="str">
        <f t="shared" si="54"/>
        <v>Proposal Sent</v>
      </c>
      <c r="E75" s="61">
        <f t="shared" si="54"/>
        <v>0.6</v>
      </c>
      <c r="F75" s="60" t="str">
        <f t="shared" si="54"/>
        <v>Dammam 2nd Ind -Tad WH</v>
      </c>
      <c r="G75" s="62">
        <f t="shared" si="54"/>
        <v>46143</v>
      </c>
      <c r="H75" s="63">
        <v>0.75</v>
      </c>
      <c r="I75" s="49">
        <f t="shared" si="55"/>
        <v>198000</v>
      </c>
      <c r="J75" s="64">
        <f t="shared" si="56"/>
        <v>400</v>
      </c>
      <c r="K75" s="64">
        <f t="shared" si="56"/>
        <v>0</v>
      </c>
      <c r="L75" s="49">
        <f t="shared" si="57"/>
        <v>16500</v>
      </c>
      <c r="M75" s="49">
        <f t="shared" si="58"/>
        <v>16500</v>
      </c>
      <c r="N75" s="49">
        <f t="shared" si="59"/>
        <v>16500</v>
      </c>
      <c r="O75" s="49">
        <f t="shared" si="60"/>
        <v>16500</v>
      </c>
      <c r="P75" s="49">
        <f t="shared" si="61"/>
        <v>16500</v>
      </c>
      <c r="Q75" s="49">
        <f t="shared" si="62"/>
        <v>16500</v>
      </c>
      <c r="R75" s="49">
        <f t="shared" si="63"/>
        <v>16500</v>
      </c>
      <c r="S75" s="49">
        <f t="shared" si="64"/>
        <v>16500</v>
      </c>
      <c r="T75" s="51">
        <f t="shared" si="65"/>
        <v>132000</v>
      </c>
      <c r="U75" s="49">
        <f t="shared" si="66"/>
        <v>16500</v>
      </c>
      <c r="V75" s="49">
        <f t="shared" si="67"/>
        <v>16500</v>
      </c>
      <c r="W75" s="49">
        <f t="shared" si="68"/>
        <v>16500</v>
      </c>
      <c r="X75" s="49">
        <f t="shared" si="69"/>
        <v>16500</v>
      </c>
      <c r="Y75" s="49">
        <f t="shared" si="70"/>
        <v>16500</v>
      </c>
      <c r="Z75" s="49">
        <f t="shared" si="71"/>
        <v>16500</v>
      </c>
      <c r="AA75" s="49">
        <f t="shared" si="72"/>
        <v>16500</v>
      </c>
      <c r="AB75" s="49">
        <f t="shared" si="73"/>
        <v>16500</v>
      </c>
      <c r="AC75" s="49">
        <f t="shared" si="74"/>
        <v>16500</v>
      </c>
      <c r="AD75" s="49">
        <f t="shared" si="75"/>
        <v>16500</v>
      </c>
      <c r="AE75" s="49">
        <f t="shared" si="76"/>
        <v>16500</v>
      </c>
      <c r="AF75" s="49">
        <f t="shared" si="77"/>
        <v>16500</v>
      </c>
      <c r="AG75" s="51">
        <f t="shared" si="78"/>
        <v>198000</v>
      </c>
      <c r="AH75" s="52">
        <f t="shared" si="79"/>
        <v>330000</v>
      </c>
      <c r="AI75" s="52">
        <f t="shared" si="80"/>
        <v>198000</v>
      </c>
      <c r="AJ75" s="53"/>
    </row>
    <row r="76" spans="1:36" ht="15" customHeight="1">
      <c r="A76" s="43">
        <v>6</v>
      </c>
      <c r="B76" s="59" t="str">
        <f t="shared" si="54"/>
        <v>Zaghami</v>
      </c>
      <c r="C76" s="59" t="str">
        <f t="shared" si="54"/>
        <v>Yazan Darwish</v>
      </c>
      <c r="D76" s="60" t="str">
        <f t="shared" si="54"/>
        <v>Proposal Sent</v>
      </c>
      <c r="E76" s="61">
        <f t="shared" si="54"/>
        <v>0.6</v>
      </c>
      <c r="F76" s="60" t="str">
        <f t="shared" si="54"/>
        <v>Dammam 2nd Ind -Tad WH</v>
      </c>
      <c r="G76" s="62">
        <f t="shared" si="54"/>
        <v>46235</v>
      </c>
      <c r="H76" s="63">
        <v>0.75</v>
      </c>
      <c r="I76" s="49">
        <f t="shared" si="55"/>
        <v>157500</v>
      </c>
      <c r="J76" s="64">
        <f t="shared" si="56"/>
        <v>250</v>
      </c>
      <c r="K76" s="64">
        <f t="shared" si="56"/>
        <v>0</v>
      </c>
      <c r="L76" s="49">
        <f t="shared" si="57"/>
        <v>0</v>
      </c>
      <c r="M76" s="49">
        <f t="shared" si="58"/>
        <v>0</v>
      </c>
      <c r="N76" s="49">
        <f t="shared" si="59"/>
        <v>0</v>
      </c>
      <c r="O76" s="49">
        <f t="shared" si="60"/>
        <v>13125</v>
      </c>
      <c r="P76" s="49">
        <f t="shared" si="61"/>
        <v>13125</v>
      </c>
      <c r="Q76" s="49">
        <f t="shared" si="62"/>
        <v>13125</v>
      </c>
      <c r="R76" s="49">
        <f t="shared" si="63"/>
        <v>13125</v>
      </c>
      <c r="S76" s="49">
        <f t="shared" si="64"/>
        <v>13125</v>
      </c>
      <c r="T76" s="51">
        <f t="shared" si="65"/>
        <v>65625</v>
      </c>
      <c r="U76" s="49">
        <f t="shared" si="66"/>
        <v>13125</v>
      </c>
      <c r="V76" s="49">
        <f t="shared" si="67"/>
        <v>13125</v>
      </c>
      <c r="W76" s="49">
        <f t="shared" si="68"/>
        <v>13125</v>
      </c>
      <c r="X76" s="49">
        <f t="shared" si="69"/>
        <v>13125</v>
      </c>
      <c r="Y76" s="49">
        <f t="shared" si="70"/>
        <v>13125</v>
      </c>
      <c r="Z76" s="49">
        <f t="shared" si="71"/>
        <v>13125</v>
      </c>
      <c r="AA76" s="49">
        <f t="shared" si="72"/>
        <v>13125</v>
      </c>
      <c r="AB76" s="49">
        <f t="shared" si="73"/>
        <v>13125</v>
      </c>
      <c r="AC76" s="49">
        <f t="shared" si="74"/>
        <v>13125</v>
      </c>
      <c r="AD76" s="49">
        <f t="shared" si="75"/>
        <v>13125</v>
      </c>
      <c r="AE76" s="49">
        <f t="shared" si="76"/>
        <v>13125</v>
      </c>
      <c r="AF76" s="49">
        <f t="shared" si="77"/>
        <v>13125</v>
      </c>
      <c r="AG76" s="51">
        <f t="shared" si="78"/>
        <v>157500</v>
      </c>
      <c r="AH76" s="52">
        <f t="shared" si="79"/>
        <v>223125</v>
      </c>
      <c r="AI76" s="52">
        <f t="shared" si="80"/>
        <v>133875</v>
      </c>
      <c r="AJ76" s="53"/>
    </row>
    <row r="77" spans="1:36" ht="15" customHeight="1">
      <c r="A77" s="43">
        <v>7</v>
      </c>
      <c r="B77" s="59" t="str">
        <f t="shared" si="54"/>
        <v>Transworld Saudi Logistics</v>
      </c>
      <c r="C77" s="59" t="str">
        <f t="shared" si="54"/>
        <v>Yazan Darwish</v>
      </c>
      <c r="D77" s="60" t="str">
        <f t="shared" si="54"/>
        <v>Proposal Sent</v>
      </c>
      <c r="E77" s="61">
        <f t="shared" si="54"/>
        <v>0.6</v>
      </c>
      <c r="F77" s="60" t="str">
        <f t="shared" si="54"/>
        <v>Dammam 2nd Ind -Tad WH</v>
      </c>
      <c r="G77" s="62">
        <f t="shared" si="54"/>
        <v>46174</v>
      </c>
      <c r="H77" s="63">
        <v>0.75</v>
      </c>
      <c r="I77" s="49">
        <f t="shared" si="55"/>
        <v>121875</v>
      </c>
      <c r="J77" s="64">
        <f t="shared" si="56"/>
        <v>250</v>
      </c>
      <c r="K77" s="64">
        <f t="shared" si="56"/>
        <v>0</v>
      </c>
      <c r="L77" s="49">
        <f t="shared" si="57"/>
        <v>0</v>
      </c>
      <c r="M77" s="49">
        <f t="shared" si="58"/>
        <v>10156.25</v>
      </c>
      <c r="N77" s="49">
        <f t="shared" si="59"/>
        <v>10156.25</v>
      </c>
      <c r="O77" s="49">
        <f t="shared" si="60"/>
        <v>10156.25</v>
      </c>
      <c r="P77" s="49">
        <f t="shared" si="61"/>
        <v>10156.25</v>
      </c>
      <c r="Q77" s="49">
        <f t="shared" si="62"/>
        <v>10156.25</v>
      </c>
      <c r="R77" s="49">
        <f t="shared" si="63"/>
        <v>10156.25</v>
      </c>
      <c r="S77" s="49">
        <f t="shared" si="64"/>
        <v>10156.25</v>
      </c>
      <c r="T77" s="51">
        <f t="shared" si="65"/>
        <v>71093.75</v>
      </c>
      <c r="U77" s="49">
        <f t="shared" si="66"/>
        <v>10156.25</v>
      </c>
      <c r="V77" s="49">
        <f t="shared" si="67"/>
        <v>10156.25</v>
      </c>
      <c r="W77" s="49">
        <f t="shared" si="68"/>
        <v>10156.25</v>
      </c>
      <c r="X77" s="49">
        <f t="shared" si="69"/>
        <v>10156.25</v>
      </c>
      <c r="Y77" s="49">
        <f t="shared" si="70"/>
        <v>10156.25</v>
      </c>
      <c r="Z77" s="49">
        <f t="shared" si="71"/>
        <v>10156.25</v>
      </c>
      <c r="AA77" s="49">
        <f t="shared" si="72"/>
        <v>10156.25</v>
      </c>
      <c r="AB77" s="49">
        <f t="shared" si="73"/>
        <v>10156.25</v>
      </c>
      <c r="AC77" s="49">
        <f t="shared" si="74"/>
        <v>10156.25</v>
      </c>
      <c r="AD77" s="49">
        <f t="shared" si="75"/>
        <v>10156.25</v>
      </c>
      <c r="AE77" s="49">
        <f t="shared" si="76"/>
        <v>10156.25</v>
      </c>
      <c r="AF77" s="49">
        <f t="shared" si="77"/>
        <v>10156.25</v>
      </c>
      <c r="AG77" s="51">
        <f t="shared" si="78"/>
        <v>121875</v>
      </c>
      <c r="AH77" s="52">
        <f t="shared" si="79"/>
        <v>192968.75</v>
      </c>
      <c r="AI77" s="52">
        <f t="shared" si="80"/>
        <v>115781.25</v>
      </c>
      <c r="AJ77" s="53"/>
    </row>
    <row r="78" spans="1:36" ht="15" customHeight="1">
      <c r="A78" s="43">
        <v>8</v>
      </c>
      <c r="B78" s="59" t="str">
        <f t="shared" si="54"/>
        <v>i-Energy</v>
      </c>
      <c r="C78" s="59" t="str">
        <f t="shared" si="54"/>
        <v>Yazan Darwish</v>
      </c>
      <c r="D78" s="60" t="str">
        <f t="shared" si="54"/>
        <v>Proposal Sent</v>
      </c>
      <c r="E78" s="61">
        <f t="shared" si="54"/>
        <v>0.6</v>
      </c>
      <c r="F78" s="60" t="str">
        <f t="shared" si="54"/>
        <v>Dammam 2nd Ind -Tad WH</v>
      </c>
      <c r="G78" s="62">
        <f t="shared" si="54"/>
        <v>46143</v>
      </c>
      <c r="H78" s="63">
        <v>0.75</v>
      </c>
      <c r="I78" s="49">
        <f t="shared" si="55"/>
        <v>112500</v>
      </c>
      <c r="J78" s="64">
        <f t="shared" si="56"/>
        <v>250</v>
      </c>
      <c r="K78" s="64">
        <f t="shared" si="56"/>
        <v>0</v>
      </c>
      <c r="L78" s="49">
        <f t="shared" si="57"/>
        <v>9375</v>
      </c>
      <c r="M78" s="49">
        <f t="shared" si="58"/>
        <v>9375</v>
      </c>
      <c r="N78" s="49">
        <f t="shared" si="59"/>
        <v>9375</v>
      </c>
      <c r="O78" s="49">
        <f t="shared" si="60"/>
        <v>9375</v>
      </c>
      <c r="P78" s="49">
        <f t="shared" si="61"/>
        <v>9375</v>
      </c>
      <c r="Q78" s="49">
        <f t="shared" si="62"/>
        <v>9375</v>
      </c>
      <c r="R78" s="49">
        <f t="shared" si="63"/>
        <v>9375</v>
      </c>
      <c r="S78" s="49">
        <f t="shared" si="64"/>
        <v>9375</v>
      </c>
      <c r="T78" s="51">
        <f t="shared" si="65"/>
        <v>75000</v>
      </c>
      <c r="U78" s="49">
        <f t="shared" si="66"/>
        <v>9375</v>
      </c>
      <c r="V78" s="49">
        <f t="shared" si="67"/>
        <v>9375</v>
      </c>
      <c r="W78" s="49">
        <f t="shared" si="68"/>
        <v>9375</v>
      </c>
      <c r="X78" s="49">
        <f t="shared" si="69"/>
        <v>9375</v>
      </c>
      <c r="Y78" s="49">
        <f t="shared" si="70"/>
        <v>9375</v>
      </c>
      <c r="Z78" s="49">
        <f t="shared" si="71"/>
        <v>9375</v>
      </c>
      <c r="AA78" s="49">
        <f t="shared" si="72"/>
        <v>9375</v>
      </c>
      <c r="AB78" s="49">
        <f t="shared" si="73"/>
        <v>9375</v>
      </c>
      <c r="AC78" s="49">
        <f t="shared" si="74"/>
        <v>9375</v>
      </c>
      <c r="AD78" s="49">
        <f t="shared" si="75"/>
        <v>9375</v>
      </c>
      <c r="AE78" s="49">
        <f t="shared" si="76"/>
        <v>9375</v>
      </c>
      <c r="AF78" s="49">
        <f t="shared" si="77"/>
        <v>9375</v>
      </c>
      <c r="AG78" s="51">
        <f t="shared" si="78"/>
        <v>112500</v>
      </c>
      <c r="AH78" s="52">
        <f t="shared" si="79"/>
        <v>187500</v>
      </c>
      <c r="AI78" s="52">
        <f t="shared" si="80"/>
        <v>112500</v>
      </c>
      <c r="AJ78" s="53"/>
    </row>
    <row r="79" spans="1:36" ht="15" customHeight="1">
      <c r="A79" s="43">
        <v>9</v>
      </c>
      <c r="B79" s="59" t="str">
        <f t="shared" si="54"/>
        <v>FMS Group</v>
      </c>
      <c r="C79" s="59" t="str">
        <f t="shared" si="54"/>
        <v>Yazan Darwish</v>
      </c>
      <c r="D79" s="60" t="str">
        <f t="shared" si="54"/>
        <v>Proposal Sent</v>
      </c>
      <c r="E79" s="61">
        <f t="shared" si="54"/>
        <v>0.6</v>
      </c>
      <c r="F79" s="60" t="str">
        <f t="shared" si="54"/>
        <v>Dammam 2nd Ind -Tad WH</v>
      </c>
      <c r="G79" s="62">
        <f t="shared" si="54"/>
        <v>46174</v>
      </c>
      <c r="H79" s="63">
        <v>0.75</v>
      </c>
      <c r="I79" s="49">
        <f t="shared" si="55"/>
        <v>37500</v>
      </c>
      <c r="J79" s="64">
        <f t="shared" si="56"/>
        <v>100</v>
      </c>
      <c r="K79" s="64">
        <f t="shared" si="56"/>
        <v>0</v>
      </c>
      <c r="L79" s="49">
        <f t="shared" si="57"/>
        <v>0</v>
      </c>
      <c r="M79" s="49">
        <f t="shared" si="58"/>
        <v>3125</v>
      </c>
      <c r="N79" s="49">
        <f t="shared" si="59"/>
        <v>3125</v>
      </c>
      <c r="O79" s="49">
        <f t="shared" si="60"/>
        <v>3125</v>
      </c>
      <c r="P79" s="49">
        <f t="shared" si="61"/>
        <v>3125</v>
      </c>
      <c r="Q79" s="49">
        <f t="shared" si="62"/>
        <v>3125</v>
      </c>
      <c r="R79" s="49">
        <f t="shared" si="63"/>
        <v>3125</v>
      </c>
      <c r="S79" s="49">
        <f t="shared" si="64"/>
        <v>3125</v>
      </c>
      <c r="T79" s="51">
        <f t="shared" si="65"/>
        <v>21875</v>
      </c>
      <c r="U79" s="49">
        <f t="shared" si="66"/>
        <v>3125</v>
      </c>
      <c r="V79" s="49">
        <f t="shared" si="67"/>
        <v>3125</v>
      </c>
      <c r="W79" s="49">
        <f t="shared" si="68"/>
        <v>3125</v>
      </c>
      <c r="X79" s="49">
        <f t="shared" si="69"/>
        <v>3125</v>
      </c>
      <c r="Y79" s="49">
        <f t="shared" si="70"/>
        <v>3125</v>
      </c>
      <c r="Z79" s="49">
        <f t="shared" si="71"/>
        <v>3125</v>
      </c>
      <c r="AA79" s="49">
        <f t="shared" si="72"/>
        <v>3125</v>
      </c>
      <c r="AB79" s="49">
        <f t="shared" si="73"/>
        <v>3125</v>
      </c>
      <c r="AC79" s="49">
        <f t="shared" si="74"/>
        <v>3125</v>
      </c>
      <c r="AD79" s="49">
        <f t="shared" si="75"/>
        <v>3125</v>
      </c>
      <c r="AE79" s="49">
        <f t="shared" si="76"/>
        <v>3125</v>
      </c>
      <c r="AF79" s="49">
        <f t="shared" si="77"/>
        <v>3125</v>
      </c>
      <c r="AG79" s="51">
        <f t="shared" si="78"/>
        <v>37500</v>
      </c>
      <c r="AH79" s="52">
        <f t="shared" si="79"/>
        <v>59375</v>
      </c>
      <c r="AI79" s="52">
        <f t="shared" si="80"/>
        <v>35625</v>
      </c>
      <c r="AJ79" s="53"/>
    </row>
    <row r="80" spans="1:36" ht="15" customHeight="1">
      <c r="A80" s="43">
        <v>10</v>
      </c>
      <c r="B80" s="59" t="str">
        <f t="shared" si="54"/>
        <v>El Ajou Group</v>
      </c>
      <c r="C80" s="59" t="str">
        <f t="shared" si="54"/>
        <v>Yazan Darwish</v>
      </c>
      <c r="D80" s="60" t="str">
        <f t="shared" si="54"/>
        <v>Proposal Sent</v>
      </c>
      <c r="E80" s="61">
        <f t="shared" si="54"/>
        <v>0.6</v>
      </c>
      <c r="F80" s="60" t="str">
        <f t="shared" si="54"/>
        <v>Dammam 2nd Ind -Tad WH</v>
      </c>
      <c r="G80" s="62">
        <f t="shared" si="54"/>
        <v>46204</v>
      </c>
      <c r="H80" s="63">
        <v>0.75</v>
      </c>
      <c r="I80" s="49">
        <f t="shared" si="55"/>
        <v>58500</v>
      </c>
      <c r="J80" s="64">
        <f t="shared" si="56"/>
        <v>100</v>
      </c>
      <c r="K80" s="64">
        <f t="shared" si="56"/>
        <v>0</v>
      </c>
      <c r="L80" s="49">
        <f t="shared" si="57"/>
        <v>0</v>
      </c>
      <c r="M80" s="49">
        <f t="shared" si="58"/>
        <v>0</v>
      </c>
      <c r="N80" s="49">
        <f t="shared" si="59"/>
        <v>4875</v>
      </c>
      <c r="O80" s="49">
        <f t="shared" si="60"/>
        <v>4875</v>
      </c>
      <c r="P80" s="49">
        <f t="shared" si="61"/>
        <v>4875</v>
      </c>
      <c r="Q80" s="49">
        <f t="shared" si="62"/>
        <v>4875</v>
      </c>
      <c r="R80" s="49">
        <f t="shared" si="63"/>
        <v>4875</v>
      </c>
      <c r="S80" s="49">
        <f t="shared" si="64"/>
        <v>4875</v>
      </c>
      <c r="T80" s="51">
        <f t="shared" si="65"/>
        <v>29250</v>
      </c>
      <c r="U80" s="49">
        <f t="shared" si="66"/>
        <v>4875</v>
      </c>
      <c r="V80" s="49">
        <f t="shared" si="67"/>
        <v>4875</v>
      </c>
      <c r="W80" s="49">
        <f t="shared" si="68"/>
        <v>4875</v>
      </c>
      <c r="X80" s="49">
        <f t="shared" si="69"/>
        <v>4875</v>
      </c>
      <c r="Y80" s="49">
        <f t="shared" si="70"/>
        <v>4875</v>
      </c>
      <c r="Z80" s="49">
        <f t="shared" si="71"/>
        <v>4875</v>
      </c>
      <c r="AA80" s="49">
        <f t="shared" si="72"/>
        <v>4875</v>
      </c>
      <c r="AB80" s="49">
        <f t="shared" si="73"/>
        <v>4875</v>
      </c>
      <c r="AC80" s="49">
        <f t="shared" si="74"/>
        <v>4875</v>
      </c>
      <c r="AD80" s="49">
        <f t="shared" si="75"/>
        <v>4875</v>
      </c>
      <c r="AE80" s="49">
        <f t="shared" si="76"/>
        <v>4875</v>
      </c>
      <c r="AF80" s="49">
        <f t="shared" si="77"/>
        <v>4875</v>
      </c>
      <c r="AG80" s="51">
        <f t="shared" si="78"/>
        <v>58500</v>
      </c>
      <c r="AH80" s="52">
        <f t="shared" si="79"/>
        <v>87750</v>
      </c>
      <c r="AI80" s="52">
        <f t="shared" si="80"/>
        <v>52650</v>
      </c>
      <c r="AJ80" s="53"/>
    </row>
    <row r="81" spans="1:36" ht="15" customHeight="1">
      <c r="A81" s="43">
        <v>11</v>
      </c>
      <c r="B81" s="59" t="str">
        <f t="shared" ref="B81:G90" si="81">IF(B16="","",B16)</f>
        <v>JAS</v>
      </c>
      <c r="C81" s="59" t="str">
        <f t="shared" si="81"/>
        <v>Yazan Darwish</v>
      </c>
      <c r="D81" s="60" t="str">
        <f t="shared" si="81"/>
        <v>Shortlisted</v>
      </c>
      <c r="E81" s="61">
        <f t="shared" si="81"/>
        <v>0.75</v>
      </c>
      <c r="F81" s="60" t="str">
        <f t="shared" si="81"/>
        <v>Jubail 1</v>
      </c>
      <c r="G81" s="62">
        <f t="shared" si="81"/>
        <v>46174</v>
      </c>
      <c r="H81" s="63">
        <v>0.75</v>
      </c>
      <c r="I81" s="49">
        <f t="shared" si="55"/>
        <v>693000</v>
      </c>
      <c r="J81" s="64">
        <f t="shared" si="56"/>
        <v>1400</v>
      </c>
      <c r="K81" s="64">
        <f t="shared" si="56"/>
        <v>0</v>
      </c>
      <c r="L81" s="49">
        <f t="shared" si="57"/>
        <v>0</v>
      </c>
      <c r="M81" s="49">
        <f t="shared" si="58"/>
        <v>57750</v>
      </c>
      <c r="N81" s="49">
        <f t="shared" si="59"/>
        <v>57750</v>
      </c>
      <c r="O81" s="49">
        <f t="shared" si="60"/>
        <v>57750</v>
      </c>
      <c r="P81" s="49">
        <f t="shared" si="61"/>
        <v>57750</v>
      </c>
      <c r="Q81" s="49">
        <f t="shared" si="62"/>
        <v>57750</v>
      </c>
      <c r="R81" s="49">
        <f t="shared" si="63"/>
        <v>57750</v>
      </c>
      <c r="S81" s="49">
        <f t="shared" si="64"/>
        <v>57750</v>
      </c>
      <c r="T81" s="51">
        <f t="shared" si="65"/>
        <v>404250</v>
      </c>
      <c r="U81" s="49">
        <f t="shared" si="66"/>
        <v>57750</v>
      </c>
      <c r="V81" s="49">
        <f t="shared" si="67"/>
        <v>57750</v>
      </c>
      <c r="W81" s="49">
        <f t="shared" si="68"/>
        <v>57750</v>
      </c>
      <c r="X81" s="49">
        <f t="shared" si="69"/>
        <v>57750</v>
      </c>
      <c r="Y81" s="49">
        <f t="shared" si="70"/>
        <v>57750</v>
      </c>
      <c r="Z81" s="49">
        <f t="shared" si="71"/>
        <v>57750</v>
      </c>
      <c r="AA81" s="49">
        <f t="shared" si="72"/>
        <v>57750</v>
      </c>
      <c r="AB81" s="49">
        <f t="shared" si="73"/>
        <v>57750</v>
      </c>
      <c r="AC81" s="49">
        <f t="shared" si="74"/>
        <v>57750</v>
      </c>
      <c r="AD81" s="49">
        <f t="shared" si="75"/>
        <v>57750</v>
      </c>
      <c r="AE81" s="49">
        <f t="shared" si="76"/>
        <v>57750</v>
      </c>
      <c r="AF81" s="49">
        <f t="shared" si="77"/>
        <v>57750</v>
      </c>
      <c r="AG81" s="51">
        <f t="shared" si="78"/>
        <v>693000</v>
      </c>
      <c r="AH81" s="52">
        <f t="shared" si="79"/>
        <v>1097250</v>
      </c>
      <c r="AI81" s="52">
        <f t="shared" si="80"/>
        <v>822937.5</v>
      </c>
      <c r="AJ81" s="53"/>
    </row>
    <row r="82" spans="1:36" ht="15" customHeight="1">
      <c r="A82" s="43">
        <v>12</v>
      </c>
      <c r="B82" s="59" t="str">
        <f t="shared" si="81"/>
        <v>LX Pantos Logistics</v>
      </c>
      <c r="C82" s="59" t="str">
        <f t="shared" si="81"/>
        <v>Yazan Darwish</v>
      </c>
      <c r="D82" s="60" t="str">
        <f t="shared" si="81"/>
        <v>Shortlisted</v>
      </c>
      <c r="E82" s="61">
        <f t="shared" si="81"/>
        <v>0.75</v>
      </c>
      <c r="F82" s="60" t="str">
        <f t="shared" si="81"/>
        <v>Jubail 1</v>
      </c>
      <c r="G82" s="62">
        <f t="shared" si="81"/>
        <v>46143</v>
      </c>
      <c r="H82" s="63">
        <v>0.75</v>
      </c>
      <c r="I82" s="49">
        <f t="shared" si="55"/>
        <v>544500</v>
      </c>
      <c r="J82" s="64">
        <f t="shared" si="56"/>
        <v>1000</v>
      </c>
      <c r="K82" s="64">
        <f t="shared" si="56"/>
        <v>0</v>
      </c>
      <c r="L82" s="49">
        <f t="shared" si="57"/>
        <v>45375</v>
      </c>
      <c r="M82" s="49">
        <f t="shared" si="58"/>
        <v>45375</v>
      </c>
      <c r="N82" s="49">
        <f t="shared" si="59"/>
        <v>45375</v>
      </c>
      <c r="O82" s="49">
        <f t="shared" si="60"/>
        <v>45375</v>
      </c>
      <c r="P82" s="49">
        <f t="shared" si="61"/>
        <v>45375</v>
      </c>
      <c r="Q82" s="49">
        <f t="shared" si="62"/>
        <v>45375</v>
      </c>
      <c r="R82" s="49">
        <f t="shared" si="63"/>
        <v>45375</v>
      </c>
      <c r="S82" s="49">
        <f t="shared" si="64"/>
        <v>45375</v>
      </c>
      <c r="T82" s="51">
        <f t="shared" si="65"/>
        <v>363000</v>
      </c>
      <c r="U82" s="49">
        <f t="shared" si="66"/>
        <v>45375</v>
      </c>
      <c r="V82" s="49">
        <f t="shared" si="67"/>
        <v>45375</v>
      </c>
      <c r="W82" s="49">
        <f t="shared" si="68"/>
        <v>45375</v>
      </c>
      <c r="X82" s="49">
        <f t="shared" si="69"/>
        <v>45375</v>
      </c>
      <c r="Y82" s="49">
        <f t="shared" si="70"/>
        <v>45375</v>
      </c>
      <c r="Z82" s="49">
        <f t="shared" si="71"/>
        <v>45375</v>
      </c>
      <c r="AA82" s="49">
        <f t="shared" si="72"/>
        <v>45375</v>
      </c>
      <c r="AB82" s="49">
        <f t="shared" si="73"/>
        <v>45375</v>
      </c>
      <c r="AC82" s="49">
        <f t="shared" si="74"/>
        <v>45375</v>
      </c>
      <c r="AD82" s="49">
        <f t="shared" si="75"/>
        <v>45375</v>
      </c>
      <c r="AE82" s="49">
        <f t="shared" si="76"/>
        <v>45375</v>
      </c>
      <c r="AF82" s="49">
        <f t="shared" si="77"/>
        <v>45375</v>
      </c>
      <c r="AG82" s="51">
        <f t="shared" si="78"/>
        <v>544500</v>
      </c>
      <c r="AH82" s="52">
        <f t="shared" si="79"/>
        <v>907500</v>
      </c>
      <c r="AI82" s="52">
        <f t="shared" si="80"/>
        <v>680625</v>
      </c>
      <c r="AJ82" s="53"/>
    </row>
    <row r="83" spans="1:36" ht="15" customHeight="1">
      <c r="A83" s="43">
        <v>13</v>
      </c>
      <c r="B83" s="59" t="str">
        <f t="shared" si="81"/>
        <v>S-Chem</v>
      </c>
      <c r="C83" s="59" t="str">
        <f t="shared" si="81"/>
        <v>Yazan Darwish</v>
      </c>
      <c r="D83" s="60" t="str">
        <f t="shared" si="81"/>
        <v>Shortlisted</v>
      </c>
      <c r="E83" s="61">
        <f t="shared" si="81"/>
        <v>0.75</v>
      </c>
      <c r="F83" s="60" t="str">
        <f t="shared" si="81"/>
        <v>Jubail 1</v>
      </c>
      <c r="G83" s="62">
        <f t="shared" si="81"/>
        <v>46188</v>
      </c>
      <c r="H83" s="63">
        <v>0.75</v>
      </c>
      <c r="I83" s="49">
        <f t="shared" si="55"/>
        <v>103950</v>
      </c>
      <c r="J83" s="64">
        <f t="shared" si="56"/>
        <v>730</v>
      </c>
      <c r="K83" s="64">
        <f t="shared" si="56"/>
        <v>0</v>
      </c>
      <c r="L83" s="49">
        <f t="shared" si="57"/>
        <v>0</v>
      </c>
      <c r="M83" s="49">
        <f t="shared" si="58"/>
        <v>8662.5</v>
      </c>
      <c r="N83" s="49">
        <f t="shared" si="59"/>
        <v>8662.5</v>
      </c>
      <c r="O83" s="49">
        <f t="shared" si="60"/>
        <v>8662.5</v>
      </c>
      <c r="P83" s="49">
        <f t="shared" si="61"/>
        <v>8662.5</v>
      </c>
      <c r="Q83" s="49">
        <f t="shared" si="62"/>
        <v>8662.5</v>
      </c>
      <c r="R83" s="49">
        <f t="shared" si="63"/>
        <v>8662.5</v>
      </c>
      <c r="S83" s="49">
        <f t="shared" si="64"/>
        <v>8662.5</v>
      </c>
      <c r="T83" s="51">
        <f t="shared" si="65"/>
        <v>60637.5</v>
      </c>
      <c r="U83" s="49">
        <f t="shared" si="66"/>
        <v>8662.5</v>
      </c>
      <c r="V83" s="49">
        <f t="shared" si="67"/>
        <v>8662.5</v>
      </c>
      <c r="W83" s="49">
        <f t="shared" si="68"/>
        <v>8662.5</v>
      </c>
      <c r="X83" s="49">
        <f t="shared" si="69"/>
        <v>8662.5</v>
      </c>
      <c r="Y83" s="49">
        <f t="shared" si="70"/>
        <v>8662.5</v>
      </c>
      <c r="Z83" s="49">
        <f t="shared" si="71"/>
        <v>8662.5</v>
      </c>
      <c r="AA83" s="49">
        <f t="shared" si="72"/>
        <v>8662.5</v>
      </c>
      <c r="AB83" s="49">
        <f t="shared" si="73"/>
        <v>8662.5</v>
      </c>
      <c r="AC83" s="49">
        <f t="shared" si="74"/>
        <v>8662.5</v>
      </c>
      <c r="AD83" s="49">
        <f t="shared" si="75"/>
        <v>8662.5</v>
      </c>
      <c r="AE83" s="49">
        <f t="shared" si="76"/>
        <v>8662.5</v>
      </c>
      <c r="AF83" s="49">
        <f t="shared" si="77"/>
        <v>8662.5</v>
      </c>
      <c r="AG83" s="51">
        <f t="shared" si="78"/>
        <v>103950</v>
      </c>
      <c r="AH83" s="52">
        <f t="shared" si="79"/>
        <v>164587.5</v>
      </c>
      <c r="AI83" s="52">
        <f t="shared" si="80"/>
        <v>123440.625</v>
      </c>
      <c r="AJ83" s="53"/>
    </row>
    <row r="84" spans="1:36" ht="15" customHeight="1">
      <c r="A84" s="43">
        <v>14</v>
      </c>
      <c r="B84" s="59" t="str">
        <f t="shared" si="81"/>
        <v>Saudi Pelican Logistics Solutions</v>
      </c>
      <c r="C84" s="59" t="str">
        <f t="shared" si="81"/>
        <v>Yazan Darwish</v>
      </c>
      <c r="D84" s="60" t="str">
        <f t="shared" si="81"/>
        <v>Proposal Sent</v>
      </c>
      <c r="E84" s="61">
        <f t="shared" si="81"/>
        <v>0.6</v>
      </c>
      <c r="F84" s="60" t="str">
        <f t="shared" si="81"/>
        <v>Jubail 1</v>
      </c>
      <c r="G84" s="62">
        <f t="shared" si="81"/>
        <v>46174</v>
      </c>
      <c r="H84" s="63">
        <v>0.75</v>
      </c>
      <c r="I84" s="49">
        <f t="shared" si="55"/>
        <v>222750</v>
      </c>
      <c r="J84" s="64">
        <f t="shared" si="56"/>
        <v>500</v>
      </c>
      <c r="K84" s="64">
        <f t="shared" si="56"/>
        <v>0</v>
      </c>
      <c r="L84" s="49">
        <f t="shared" si="57"/>
        <v>0</v>
      </c>
      <c r="M84" s="49">
        <f t="shared" si="58"/>
        <v>18562.5</v>
      </c>
      <c r="N84" s="49">
        <f t="shared" si="59"/>
        <v>18562.5</v>
      </c>
      <c r="O84" s="49">
        <f t="shared" si="60"/>
        <v>18562.5</v>
      </c>
      <c r="P84" s="49">
        <f t="shared" si="61"/>
        <v>18562.5</v>
      </c>
      <c r="Q84" s="49">
        <f t="shared" si="62"/>
        <v>18562.5</v>
      </c>
      <c r="R84" s="49">
        <f t="shared" si="63"/>
        <v>18562.5</v>
      </c>
      <c r="S84" s="49">
        <f t="shared" si="64"/>
        <v>18562.5</v>
      </c>
      <c r="T84" s="51">
        <f t="shared" si="65"/>
        <v>129937.5</v>
      </c>
      <c r="U84" s="49">
        <f t="shared" si="66"/>
        <v>18562.5</v>
      </c>
      <c r="V84" s="49">
        <f t="shared" si="67"/>
        <v>18562.5</v>
      </c>
      <c r="W84" s="49">
        <f t="shared" si="68"/>
        <v>18562.5</v>
      </c>
      <c r="X84" s="49">
        <f t="shared" si="69"/>
        <v>18562.5</v>
      </c>
      <c r="Y84" s="49">
        <f t="shared" si="70"/>
        <v>18562.5</v>
      </c>
      <c r="Z84" s="49">
        <f t="shared" si="71"/>
        <v>18562.5</v>
      </c>
      <c r="AA84" s="49">
        <f t="shared" si="72"/>
        <v>18562.5</v>
      </c>
      <c r="AB84" s="49">
        <f t="shared" si="73"/>
        <v>18562.5</v>
      </c>
      <c r="AC84" s="49">
        <f t="shared" si="74"/>
        <v>18562.5</v>
      </c>
      <c r="AD84" s="49">
        <f t="shared" si="75"/>
        <v>18562.5</v>
      </c>
      <c r="AE84" s="49">
        <f t="shared" si="76"/>
        <v>18562.5</v>
      </c>
      <c r="AF84" s="49">
        <f t="shared" si="77"/>
        <v>18562.5</v>
      </c>
      <c r="AG84" s="51">
        <f t="shared" si="78"/>
        <v>222750</v>
      </c>
      <c r="AH84" s="52">
        <f t="shared" si="79"/>
        <v>352687.5</v>
      </c>
      <c r="AI84" s="52">
        <f t="shared" si="80"/>
        <v>211612.5</v>
      </c>
      <c r="AJ84" s="53"/>
    </row>
    <row r="85" spans="1:36" ht="15" customHeight="1">
      <c r="A85" s="43">
        <v>15</v>
      </c>
      <c r="B85" s="59" t="str">
        <f t="shared" si="81"/>
        <v>Ravago Saudi Arabia</v>
      </c>
      <c r="C85" s="59" t="str">
        <f t="shared" si="81"/>
        <v>Yazan Darwish</v>
      </c>
      <c r="D85" s="60" t="str">
        <f t="shared" si="81"/>
        <v>Proposal Sent</v>
      </c>
      <c r="E85" s="61">
        <f t="shared" si="81"/>
        <v>0.6</v>
      </c>
      <c r="F85" s="60" t="str">
        <f t="shared" si="81"/>
        <v>Jubail 2</v>
      </c>
      <c r="G85" s="62">
        <f t="shared" si="81"/>
        <v>46266</v>
      </c>
      <c r="H85" s="63">
        <v>0.75</v>
      </c>
      <c r="I85" s="49">
        <f t="shared" si="55"/>
        <v>412500</v>
      </c>
      <c r="J85" s="64">
        <f t="shared" si="56"/>
        <v>1200</v>
      </c>
      <c r="K85" s="64">
        <f t="shared" si="56"/>
        <v>0</v>
      </c>
      <c r="L85" s="49">
        <f t="shared" si="57"/>
        <v>0</v>
      </c>
      <c r="M85" s="49">
        <f t="shared" si="58"/>
        <v>0</v>
      </c>
      <c r="N85" s="49">
        <f t="shared" si="59"/>
        <v>0</v>
      </c>
      <c r="O85" s="49">
        <f t="shared" si="60"/>
        <v>0</v>
      </c>
      <c r="P85" s="49">
        <f t="shared" si="61"/>
        <v>34375</v>
      </c>
      <c r="Q85" s="49">
        <f t="shared" si="62"/>
        <v>34375</v>
      </c>
      <c r="R85" s="49">
        <f t="shared" si="63"/>
        <v>34375</v>
      </c>
      <c r="S85" s="49">
        <f t="shared" si="64"/>
        <v>34375</v>
      </c>
      <c r="T85" s="51">
        <f t="shared" si="65"/>
        <v>137500</v>
      </c>
      <c r="U85" s="49">
        <f t="shared" si="66"/>
        <v>34375</v>
      </c>
      <c r="V85" s="49">
        <f t="shared" si="67"/>
        <v>34375</v>
      </c>
      <c r="W85" s="49">
        <f t="shared" si="68"/>
        <v>34375</v>
      </c>
      <c r="X85" s="49">
        <f t="shared" si="69"/>
        <v>34375</v>
      </c>
      <c r="Y85" s="49">
        <f t="shared" si="70"/>
        <v>34375</v>
      </c>
      <c r="Z85" s="49">
        <f t="shared" si="71"/>
        <v>34375</v>
      </c>
      <c r="AA85" s="49">
        <f t="shared" si="72"/>
        <v>34375</v>
      </c>
      <c r="AB85" s="49">
        <f t="shared" si="73"/>
        <v>34375</v>
      </c>
      <c r="AC85" s="49">
        <f t="shared" si="74"/>
        <v>34375</v>
      </c>
      <c r="AD85" s="49">
        <f t="shared" si="75"/>
        <v>34375</v>
      </c>
      <c r="AE85" s="49">
        <f t="shared" si="76"/>
        <v>34375</v>
      </c>
      <c r="AF85" s="49">
        <f t="shared" si="77"/>
        <v>34375</v>
      </c>
      <c r="AG85" s="51">
        <f t="shared" si="78"/>
        <v>412500</v>
      </c>
      <c r="AH85" s="52">
        <f t="shared" si="79"/>
        <v>550000</v>
      </c>
      <c r="AI85" s="52">
        <f t="shared" si="80"/>
        <v>330000</v>
      </c>
      <c r="AJ85" s="53"/>
    </row>
    <row r="86" spans="1:36" ht="15" customHeight="1">
      <c r="A86" s="43">
        <v>16</v>
      </c>
      <c r="B86" s="59" t="str">
        <f t="shared" si="81"/>
        <v>Tahakom</v>
      </c>
      <c r="C86" s="59" t="str">
        <f t="shared" si="81"/>
        <v>Yazan Darwish</v>
      </c>
      <c r="D86" s="60" t="str">
        <f t="shared" si="81"/>
        <v>Shortlisted</v>
      </c>
      <c r="E86" s="61">
        <f t="shared" si="81"/>
        <v>0.75</v>
      </c>
      <c r="F86" s="60" t="str">
        <f t="shared" si="81"/>
        <v>Jubail 2</v>
      </c>
      <c r="G86" s="62">
        <f t="shared" si="81"/>
        <v>46204</v>
      </c>
      <c r="H86" s="63">
        <v>0.75</v>
      </c>
      <c r="I86" s="49">
        <f t="shared" si="55"/>
        <v>637500</v>
      </c>
      <c r="J86" s="64">
        <f t="shared" si="56"/>
        <v>0</v>
      </c>
      <c r="K86" s="64">
        <f t="shared" si="56"/>
        <v>15000</v>
      </c>
      <c r="L86" s="49">
        <f t="shared" si="57"/>
        <v>0</v>
      </c>
      <c r="M86" s="49">
        <f t="shared" si="58"/>
        <v>0</v>
      </c>
      <c r="N86" s="49">
        <f t="shared" si="59"/>
        <v>53125</v>
      </c>
      <c r="O86" s="49">
        <f t="shared" si="60"/>
        <v>53125</v>
      </c>
      <c r="P86" s="49">
        <f t="shared" si="61"/>
        <v>53125</v>
      </c>
      <c r="Q86" s="49">
        <f t="shared" si="62"/>
        <v>53125</v>
      </c>
      <c r="R86" s="49">
        <f t="shared" si="63"/>
        <v>53125</v>
      </c>
      <c r="S86" s="49">
        <f t="shared" si="64"/>
        <v>53125</v>
      </c>
      <c r="T86" s="51">
        <f t="shared" si="65"/>
        <v>318750</v>
      </c>
      <c r="U86" s="49">
        <f t="shared" si="66"/>
        <v>53125</v>
      </c>
      <c r="V86" s="49">
        <f t="shared" si="67"/>
        <v>53125</v>
      </c>
      <c r="W86" s="49">
        <f t="shared" si="68"/>
        <v>53125</v>
      </c>
      <c r="X86" s="49">
        <f t="shared" si="69"/>
        <v>53125</v>
      </c>
      <c r="Y86" s="49">
        <f t="shared" si="70"/>
        <v>53125</v>
      </c>
      <c r="Z86" s="49">
        <f t="shared" si="71"/>
        <v>53125</v>
      </c>
      <c r="AA86" s="49">
        <f t="shared" si="72"/>
        <v>53125</v>
      </c>
      <c r="AB86" s="49">
        <f t="shared" si="73"/>
        <v>53125</v>
      </c>
      <c r="AC86" s="49">
        <f t="shared" si="74"/>
        <v>53125</v>
      </c>
      <c r="AD86" s="49">
        <f t="shared" si="75"/>
        <v>53125</v>
      </c>
      <c r="AE86" s="49">
        <f t="shared" si="76"/>
        <v>53125</v>
      </c>
      <c r="AF86" s="49">
        <f t="shared" si="77"/>
        <v>53125</v>
      </c>
      <c r="AG86" s="51">
        <f t="shared" si="78"/>
        <v>637500</v>
      </c>
      <c r="AH86" s="52">
        <f t="shared" si="79"/>
        <v>956250</v>
      </c>
      <c r="AI86" s="52">
        <f t="shared" si="80"/>
        <v>717187.5</v>
      </c>
      <c r="AJ86" s="53"/>
    </row>
    <row r="87" spans="1:36" ht="15" customHeight="1">
      <c r="A87" s="43">
        <v>17</v>
      </c>
      <c r="B87" s="59" t="str">
        <f t="shared" si="81"/>
        <v>Oriend Provisions</v>
      </c>
      <c r="C87" s="59" t="str">
        <f t="shared" si="81"/>
        <v>Simon Reah</v>
      </c>
      <c r="D87" s="60" t="str">
        <f t="shared" si="81"/>
        <v>Proposal Sent</v>
      </c>
      <c r="E87" s="61">
        <f t="shared" si="81"/>
        <v>0.6</v>
      </c>
      <c r="F87" s="60" t="str">
        <f t="shared" si="81"/>
        <v>Jeddah Modon 3A</v>
      </c>
      <c r="G87" s="62">
        <f t="shared" si="81"/>
        <v>46235</v>
      </c>
      <c r="H87" s="63">
        <v>0.75</v>
      </c>
      <c r="I87" s="49">
        <f t="shared" si="55"/>
        <v>1215000</v>
      </c>
      <c r="J87" s="64">
        <f t="shared" si="56"/>
        <v>3000</v>
      </c>
      <c r="K87" s="64">
        <f t="shared" si="56"/>
        <v>0</v>
      </c>
      <c r="L87" s="49">
        <f t="shared" si="57"/>
        <v>0</v>
      </c>
      <c r="M87" s="49">
        <f t="shared" si="58"/>
        <v>0</v>
      </c>
      <c r="N87" s="49">
        <f t="shared" si="59"/>
        <v>0</v>
      </c>
      <c r="O87" s="49">
        <f t="shared" si="60"/>
        <v>101250</v>
      </c>
      <c r="P87" s="49">
        <f t="shared" si="61"/>
        <v>101250</v>
      </c>
      <c r="Q87" s="49">
        <f t="shared" si="62"/>
        <v>101250</v>
      </c>
      <c r="R87" s="49">
        <f t="shared" si="63"/>
        <v>101250</v>
      </c>
      <c r="S87" s="49">
        <f t="shared" si="64"/>
        <v>101250</v>
      </c>
      <c r="T87" s="51">
        <f t="shared" si="65"/>
        <v>506250</v>
      </c>
      <c r="U87" s="49">
        <f t="shared" si="66"/>
        <v>101250</v>
      </c>
      <c r="V87" s="49">
        <f t="shared" si="67"/>
        <v>101250</v>
      </c>
      <c r="W87" s="49">
        <f t="shared" si="68"/>
        <v>101250</v>
      </c>
      <c r="X87" s="49">
        <f t="shared" si="69"/>
        <v>101250</v>
      </c>
      <c r="Y87" s="49">
        <f t="shared" si="70"/>
        <v>101250</v>
      </c>
      <c r="Z87" s="49">
        <f t="shared" si="71"/>
        <v>101250</v>
      </c>
      <c r="AA87" s="49">
        <f t="shared" si="72"/>
        <v>101250</v>
      </c>
      <c r="AB87" s="49">
        <f t="shared" si="73"/>
        <v>101250</v>
      </c>
      <c r="AC87" s="49">
        <f t="shared" si="74"/>
        <v>101250</v>
      </c>
      <c r="AD87" s="49">
        <f t="shared" si="75"/>
        <v>101250</v>
      </c>
      <c r="AE87" s="49">
        <f t="shared" si="76"/>
        <v>101250</v>
      </c>
      <c r="AF87" s="49">
        <f t="shared" si="77"/>
        <v>101250</v>
      </c>
      <c r="AG87" s="51">
        <f t="shared" si="78"/>
        <v>1215000</v>
      </c>
      <c r="AH87" s="52">
        <f t="shared" si="79"/>
        <v>1721250</v>
      </c>
      <c r="AI87" s="52">
        <f t="shared" si="80"/>
        <v>1032750</v>
      </c>
      <c r="AJ87" s="53"/>
    </row>
    <row r="88" spans="1:36" ht="15" customHeight="1">
      <c r="A88" s="43">
        <v>18</v>
      </c>
      <c r="B88" s="59" t="str">
        <f t="shared" si="81"/>
        <v>Al Nahdi</v>
      </c>
      <c r="C88" s="59" t="str">
        <f t="shared" si="81"/>
        <v>Simon Reah</v>
      </c>
      <c r="D88" s="60" t="str">
        <f t="shared" si="81"/>
        <v>Contract Negotiation</v>
      </c>
      <c r="E88" s="61">
        <f t="shared" si="81"/>
        <v>0.9</v>
      </c>
      <c r="F88" s="60" t="str">
        <f t="shared" si="81"/>
        <v>Jeddah Modon 3A</v>
      </c>
      <c r="G88" s="62">
        <f t="shared" si="81"/>
        <v>46143</v>
      </c>
      <c r="H88" s="63">
        <v>0.75</v>
      </c>
      <c r="I88" s="49">
        <f t="shared" si="55"/>
        <v>810000</v>
      </c>
      <c r="J88" s="64">
        <f t="shared" si="56"/>
        <v>3000</v>
      </c>
      <c r="K88" s="64">
        <f t="shared" si="56"/>
        <v>0</v>
      </c>
      <c r="L88" s="49">
        <f t="shared" si="57"/>
        <v>67500</v>
      </c>
      <c r="M88" s="49">
        <f t="shared" si="58"/>
        <v>67500</v>
      </c>
      <c r="N88" s="49">
        <f t="shared" si="59"/>
        <v>67500</v>
      </c>
      <c r="O88" s="49">
        <f t="shared" si="60"/>
        <v>67500</v>
      </c>
      <c r="P88" s="49">
        <f t="shared" si="61"/>
        <v>67500</v>
      </c>
      <c r="Q88" s="49">
        <f t="shared" si="62"/>
        <v>67500</v>
      </c>
      <c r="R88" s="49">
        <f t="shared" si="63"/>
        <v>67500</v>
      </c>
      <c r="S88" s="49">
        <f t="shared" si="64"/>
        <v>67500</v>
      </c>
      <c r="T88" s="51">
        <f t="shared" si="65"/>
        <v>540000</v>
      </c>
      <c r="U88" s="49">
        <f t="shared" si="66"/>
        <v>67500</v>
      </c>
      <c r="V88" s="49">
        <f t="shared" si="67"/>
        <v>67500</v>
      </c>
      <c r="W88" s="49">
        <f t="shared" si="68"/>
        <v>67500</v>
      </c>
      <c r="X88" s="49">
        <f t="shared" si="69"/>
        <v>67500</v>
      </c>
      <c r="Y88" s="49">
        <f t="shared" si="70"/>
        <v>67500</v>
      </c>
      <c r="Z88" s="49">
        <f t="shared" si="71"/>
        <v>67500</v>
      </c>
      <c r="AA88" s="49">
        <f t="shared" si="72"/>
        <v>67500</v>
      </c>
      <c r="AB88" s="49">
        <f t="shared" si="73"/>
        <v>67500</v>
      </c>
      <c r="AC88" s="49">
        <f t="shared" si="74"/>
        <v>67500</v>
      </c>
      <c r="AD88" s="49">
        <f t="shared" si="75"/>
        <v>67500</v>
      </c>
      <c r="AE88" s="49">
        <f t="shared" si="76"/>
        <v>67500</v>
      </c>
      <c r="AF88" s="49">
        <f t="shared" si="77"/>
        <v>67500</v>
      </c>
      <c r="AG88" s="51">
        <f t="shared" si="78"/>
        <v>810000</v>
      </c>
      <c r="AH88" s="52">
        <f t="shared" si="79"/>
        <v>1350000</v>
      </c>
      <c r="AI88" s="52">
        <f t="shared" si="80"/>
        <v>1215000</v>
      </c>
      <c r="AJ88" s="53"/>
    </row>
    <row r="89" spans="1:36" ht="15" customHeight="1">
      <c r="A89" s="43">
        <v>19</v>
      </c>
      <c r="B89" s="59" t="str">
        <f t="shared" si="81"/>
        <v>JamJoom</v>
      </c>
      <c r="C89" s="59" t="str">
        <f t="shared" si="81"/>
        <v>Simon Reah</v>
      </c>
      <c r="D89" s="60" t="str">
        <f t="shared" si="81"/>
        <v>Shortlisted</v>
      </c>
      <c r="E89" s="61">
        <f t="shared" si="81"/>
        <v>0.75</v>
      </c>
      <c r="F89" s="60" t="str">
        <f t="shared" si="81"/>
        <v>Jeddah Modon 3A</v>
      </c>
      <c r="G89" s="62">
        <f t="shared" si="81"/>
        <v>46174</v>
      </c>
      <c r="H89" s="63">
        <v>0.75</v>
      </c>
      <c r="I89" s="49">
        <f t="shared" si="55"/>
        <v>668250</v>
      </c>
      <c r="J89" s="64">
        <f t="shared" si="56"/>
        <v>1500</v>
      </c>
      <c r="K89" s="64">
        <f t="shared" si="56"/>
        <v>0</v>
      </c>
      <c r="L89" s="49">
        <f t="shared" si="57"/>
        <v>0</v>
      </c>
      <c r="M89" s="49">
        <f t="shared" si="58"/>
        <v>55687.5</v>
      </c>
      <c r="N89" s="49">
        <f t="shared" si="59"/>
        <v>55687.5</v>
      </c>
      <c r="O89" s="49">
        <f t="shared" si="60"/>
        <v>55687.5</v>
      </c>
      <c r="P89" s="49">
        <f t="shared" si="61"/>
        <v>55687.5</v>
      </c>
      <c r="Q89" s="49">
        <f t="shared" si="62"/>
        <v>55687.5</v>
      </c>
      <c r="R89" s="49">
        <f t="shared" si="63"/>
        <v>55687.5</v>
      </c>
      <c r="S89" s="49">
        <f t="shared" si="64"/>
        <v>55687.5</v>
      </c>
      <c r="T89" s="51">
        <f t="shared" si="65"/>
        <v>389812.5</v>
      </c>
      <c r="U89" s="49">
        <f t="shared" si="66"/>
        <v>55687.5</v>
      </c>
      <c r="V89" s="49">
        <f t="shared" si="67"/>
        <v>55687.5</v>
      </c>
      <c r="W89" s="49">
        <f t="shared" si="68"/>
        <v>55687.5</v>
      </c>
      <c r="X89" s="49">
        <f t="shared" si="69"/>
        <v>55687.5</v>
      </c>
      <c r="Y89" s="49">
        <f t="shared" si="70"/>
        <v>55687.5</v>
      </c>
      <c r="Z89" s="49">
        <f t="shared" si="71"/>
        <v>55687.5</v>
      </c>
      <c r="AA89" s="49">
        <f t="shared" si="72"/>
        <v>55687.5</v>
      </c>
      <c r="AB89" s="49">
        <f t="shared" si="73"/>
        <v>55687.5</v>
      </c>
      <c r="AC89" s="49">
        <f t="shared" si="74"/>
        <v>55687.5</v>
      </c>
      <c r="AD89" s="49">
        <f t="shared" si="75"/>
        <v>55687.5</v>
      </c>
      <c r="AE89" s="49">
        <f t="shared" si="76"/>
        <v>55687.5</v>
      </c>
      <c r="AF89" s="49">
        <f t="shared" si="77"/>
        <v>55687.5</v>
      </c>
      <c r="AG89" s="51">
        <f t="shared" si="78"/>
        <v>668250</v>
      </c>
      <c r="AH89" s="52">
        <f t="shared" si="79"/>
        <v>1058062.5</v>
      </c>
      <c r="AI89" s="52">
        <f t="shared" si="80"/>
        <v>793546.875</v>
      </c>
      <c r="AJ89" s="53"/>
    </row>
    <row r="90" spans="1:36" ht="15" customHeight="1">
      <c r="A90" s="43">
        <v>20</v>
      </c>
      <c r="B90" s="59" t="str">
        <f t="shared" si="81"/>
        <v>Med City Pharma</v>
      </c>
      <c r="C90" s="59" t="str">
        <f t="shared" si="81"/>
        <v>Amin AlHalabi</v>
      </c>
      <c r="D90" s="60" t="str">
        <f t="shared" si="81"/>
        <v>Proposal Sent</v>
      </c>
      <c r="E90" s="61">
        <f t="shared" si="81"/>
        <v>0.6</v>
      </c>
      <c r="F90" s="60" t="str">
        <f t="shared" si="81"/>
        <v>Jeddah Modon 3A</v>
      </c>
      <c r="G90" s="62">
        <f t="shared" si="81"/>
        <v>46174</v>
      </c>
      <c r="H90" s="63">
        <v>0.75</v>
      </c>
      <c r="I90" s="49">
        <f t="shared" si="55"/>
        <v>446400</v>
      </c>
      <c r="J90" s="64">
        <f t="shared" si="56"/>
        <v>800</v>
      </c>
      <c r="K90" s="64">
        <f t="shared" si="56"/>
        <v>0</v>
      </c>
      <c r="L90" s="49">
        <f t="shared" si="57"/>
        <v>0</v>
      </c>
      <c r="M90" s="49">
        <f t="shared" si="58"/>
        <v>37200</v>
      </c>
      <c r="N90" s="49">
        <f t="shared" si="59"/>
        <v>37200</v>
      </c>
      <c r="O90" s="49">
        <f t="shared" si="60"/>
        <v>37200</v>
      </c>
      <c r="P90" s="49">
        <f t="shared" si="61"/>
        <v>37200</v>
      </c>
      <c r="Q90" s="49">
        <f t="shared" si="62"/>
        <v>37200</v>
      </c>
      <c r="R90" s="49">
        <f t="shared" si="63"/>
        <v>37200</v>
      </c>
      <c r="S90" s="49">
        <f t="shared" si="64"/>
        <v>37200</v>
      </c>
      <c r="T90" s="51">
        <f t="shared" si="65"/>
        <v>260400</v>
      </c>
      <c r="U90" s="49">
        <f t="shared" si="66"/>
        <v>37200</v>
      </c>
      <c r="V90" s="49">
        <f t="shared" si="67"/>
        <v>37200</v>
      </c>
      <c r="W90" s="49">
        <f t="shared" si="68"/>
        <v>37200</v>
      </c>
      <c r="X90" s="49">
        <f t="shared" si="69"/>
        <v>37200</v>
      </c>
      <c r="Y90" s="49">
        <f t="shared" si="70"/>
        <v>37200</v>
      </c>
      <c r="Z90" s="49">
        <f t="shared" si="71"/>
        <v>37200</v>
      </c>
      <c r="AA90" s="49">
        <f t="shared" si="72"/>
        <v>37200</v>
      </c>
      <c r="AB90" s="49">
        <f t="shared" si="73"/>
        <v>37200</v>
      </c>
      <c r="AC90" s="49">
        <f t="shared" si="74"/>
        <v>37200</v>
      </c>
      <c r="AD90" s="49">
        <f t="shared" si="75"/>
        <v>37200</v>
      </c>
      <c r="AE90" s="49">
        <f t="shared" si="76"/>
        <v>37200</v>
      </c>
      <c r="AF90" s="49">
        <f t="shared" si="77"/>
        <v>37200</v>
      </c>
      <c r="AG90" s="51">
        <f t="shared" si="78"/>
        <v>446400</v>
      </c>
      <c r="AH90" s="52">
        <f t="shared" si="79"/>
        <v>706800</v>
      </c>
      <c r="AI90" s="52">
        <f t="shared" si="80"/>
        <v>424080</v>
      </c>
      <c r="AJ90" s="53"/>
    </row>
    <row r="91" spans="1:36" ht="15" customHeight="1">
      <c r="A91" s="43">
        <v>21</v>
      </c>
      <c r="B91" s="59" t="str">
        <f t="shared" ref="B91:G100" si="82">IF(B26="","",B26)</f>
        <v>Diwan Al Qahwa Trading Company</v>
      </c>
      <c r="C91" s="59" t="str">
        <f t="shared" si="82"/>
        <v>Yazan Darwish</v>
      </c>
      <c r="D91" s="60" t="str">
        <f t="shared" si="82"/>
        <v>Proposal Sent</v>
      </c>
      <c r="E91" s="61">
        <f t="shared" si="82"/>
        <v>0.6</v>
      </c>
      <c r="F91" s="60" t="str">
        <f t="shared" si="82"/>
        <v>Jeddah Modon 3A</v>
      </c>
      <c r="G91" s="62">
        <f t="shared" si="82"/>
        <v>46204</v>
      </c>
      <c r="H91" s="63">
        <v>0.75</v>
      </c>
      <c r="I91" s="49">
        <f t="shared" si="55"/>
        <v>297000</v>
      </c>
      <c r="J91" s="64">
        <f t="shared" ref="J91:K110" si="83">IF(J26="","",J26)</f>
        <v>500</v>
      </c>
      <c r="K91" s="64">
        <f t="shared" si="83"/>
        <v>0</v>
      </c>
      <c r="L91" s="49">
        <f t="shared" si="57"/>
        <v>0</v>
      </c>
      <c r="M91" s="49">
        <f t="shared" si="58"/>
        <v>0</v>
      </c>
      <c r="N91" s="49">
        <f t="shared" si="59"/>
        <v>24750</v>
      </c>
      <c r="O91" s="49">
        <f t="shared" si="60"/>
        <v>24750</v>
      </c>
      <c r="P91" s="49">
        <f t="shared" si="61"/>
        <v>24750</v>
      </c>
      <c r="Q91" s="49">
        <f t="shared" si="62"/>
        <v>24750</v>
      </c>
      <c r="R91" s="49">
        <f t="shared" si="63"/>
        <v>24750</v>
      </c>
      <c r="S91" s="49">
        <f t="shared" si="64"/>
        <v>24750</v>
      </c>
      <c r="T91" s="51">
        <f t="shared" si="65"/>
        <v>148500</v>
      </c>
      <c r="U91" s="49">
        <f t="shared" si="66"/>
        <v>24750</v>
      </c>
      <c r="V91" s="49">
        <f t="shared" si="67"/>
        <v>24750</v>
      </c>
      <c r="W91" s="49">
        <f t="shared" si="68"/>
        <v>24750</v>
      </c>
      <c r="X91" s="49">
        <f t="shared" si="69"/>
        <v>24750</v>
      </c>
      <c r="Y91" s="49">
        <f t="shared" si="70"/>
        <v>24750</v>
      </c>
      <c r="Z91" s="49">
        <f t="shared" si="71"/>
        <v>24750</v>
      </c>
      <c r="AA91" s="49">
        <f t="shared" si="72"/>
        <v>24750</v>
      </c>
      <c r="AB91" s="49">
        <f t="shared" si="73"/>
        <v>24750</v>
      </c>
      <c r="AC91" s="49">
        <f t="shared" si="74"/>
        <v>24750</v>
      </c>
      <c r="AD91" s="49">
        <f t="shared" si="75"/>
        <v>24750</v>
      </c>
      <c r="AE91" s="49">
        <f t="shared" si="76"/>
        <v>24750</v>
      </c>
      <c r="AF91" s="49">
        <f t="shared" si="77"/>
        <v>24750</v>
      </c>
      <c r="AG91" s="51">
        <f t="shared" si="78"/>
        <v>297000</v>
      </c>
      <c r="AH91" s="52">
        <f t="shared" si="79"/>
        <v>445500</v>
      </c>
      <c r="AI91" s="52">
        <f t="shared" si="80"/>
        <v>267300</v>
      </c>
      <c r="AJ91" s="53"/>
    </row>
    <row r="92" spans="1:36" ht="15" customHeight="1">
      <c r="A92" s="43">
        <v>22</v>
      </c>
      <c r="B92" s="59" t="str">
        <f t="shared" si="82"/>
        <v>Tejoury</v>
      </c>
      <c r="C92" s="59" t="str">
        <f t="shared" si="82"/>
        <v>Hano Oberholzer</v>
      </c>
      <c r="D92" s="60" t="str">
        <f t="shared" si="82"/>
        <v>Proposal Sent</v>
      </c>
      <c r="E92" s="61">
        <f t="shared" si="82"/>
        <v>0.6</v>
      </c>
      <c r="F92" s="60" t="str">
        <f t="shared" si="82"/>
        <v>Jeddah Modon 3A</v>
      </c>
      <c r="G92" s="62">
        <f t="shared" si="82"/>
        <v>46204</v>
      </c>
      <c r="H92" s="63">
        <v>0.75</v>
      </c>
      <c r="I92" s="49">
        <f t="shared" si="55"/>
        <v>3300000</v>
      </c>
      <c r="J92" s="64">
        <f t="shared" si="83"/>
        <v>0</v>
      </c>
      <c r="K92" s="64">
        <f t="shared" si="83"/>
        <v>4495</v>
      </c>
      <c r="L92" s="49">
        <f t="shared" si="57"/>
        <v>0</v>
      </c>
      <c r="M92" s="49">
        <f t="shared" si="58"/>
        <v>0</v>
      </c>
      <c r="N92" s="49">
        <f t="shared" si="59"/>
        <v>275000</v>
      </c>
      <c r="O92" s="49">
        <f t="shared" si="60"/>
        <v>275000</v>
      </c>
      <c r="P92" s="49">
        <f t="shared" si="61"/>
        <v>275000</v>
      </c>
      <c r="Q92" s="49">
        <f t="shared" si="62"/>
        <v>275000</v>
      </c>
      <c r="R92" s="49">
        <f t="shared" si="63"/>
        <v>275000</v>
      </c>
      <c r="S92" s="49">
        <f t="shared" si="64"/>
        <v>275000</v>
      </c>
      <c r="T92" s="51">
        <f t="shared" si="65"/>
        <v>1650000</v>
      </c>
      <c r="U92" s="49">
        <f t="shared" si="66"/>
        <v>275000</v>
      </c>
      <c r="V92" s="49">
        <f t="shared" si="67"/>
        <v>275000</v>
      </c>
      <c r="W92" s="49">
        <f t="shared" si="68"/>
        <v>275000</v>
      </c>
      <c r="X92" s="49">
        <f t="shared" si="69"/>
        <v>275000</v>
      </c>
      <c r="Y92" s="49">
        <f t="shared" si="70"/>
        <v>275000</v>
      </c>
      <c r="Z92" s="49">
        <f t="shared" si="71"/>
        <v>275000</v>
      </c>
      <c r="AA92" s="49">
        <f t="shared" si="72"/>
        <v>275000</v>
      </c>
      <c r="AB92" s="49">
        <f t="shared" si="73"/>
        <v>275000</v>
      </c>
      <c r="AC92" s="49">
        <f t="shared" si="74"/>
        <v>275000</v>
      </c>
      <c r="AD92" s="49">
        <f t="shared" si="75"/>
        <v>275000</v>
      </c>
      <c r="AE92" s="49">
        <f t="shared" si="76"/>
        <v>275000</v>
      </c>
      <c r="AF92" s="49">
        <f t="shared" si="77"/>
        <v>275000</v>
      </c>
      <c r="AG92" s="51">
        <f t="shared" si="78"/>
        <v>3300000</v>
      </c>
      <c r="AH92" s="52">
        <f t="shared" si="79"/>
        <v>4950000</v>
      </c>
      <c r="AI92" s="52">
        <f t="shared" si="80"/>
        <v>2970000</v>
      </c>
      <c r="AJ92" s="53"/>
    </row>
    <row r="93" spans="1:36" ht="15" customHeight="1">
      <c r="A93" s="43">
        <v>23</v>
      </c>
      <c r="B93" s="59" t="str">
        <f t="shared" si="82"/>
        <v>United Carton</v>
      </c>
      <c r="C93" s="59" t="str">
        <f t="shared" si="82"/>
        <v>Simon Reah</v>
      </c>
      <c r="D93" s="60" t="str">
        <f t="shared" si="82"/>
        <v>Proposal Sent</v>
      </c>
      <c r="E93" s="61">
        <f t="shared" si="82"/>
        <v>0.6</v>
      </c>
      <c r="F93" s="60" t="str">
        <f t="shared" si="82"/>
        <v>Jeddah Modon 3B</v>
      </c>
      <c r="G93" s="62">
        <f t="shared" si="82"/>
        <v>46204</v>
      </c>
      <c r="H93" s="63">
        <v>0.75</v>
      </c>
      <c r="I93" s="49">
        <f t="shared" si="55"/>
        <v>378000</v>
      </c>
      <c r="J93" s="64">
        <f t="shared" si="83"/>
        <v>1400</v>
      </c>
      <c r="K93" s="64">
        <f t="shared" si="83"/>
        <v>0</v>
      </c>
      <c r="L93" s="49">
        <f t="shared" si="57"/>
        <v>0</v>
      </c>
      <c r="M93" s="49">
        <f t="shared" si="58"/>
        <v>0</v>
      </c>
      <c r="N93" s="49">
        <f t="shared" si="59"/>
        <v>31500</v>
      </c>
      <c r="O93" s="49">
        <f t="shared" si="60"/>
        <v>31500</v>
      </c>
      <c r="P93" s="49">
        <f t="shared" si="61"/>
        <v>31500</v>
      </c>
      <c r="Q93" s="49">
        <f t="shared" si="62"/>
        <v>31500</v>
      </c>
      <c r="R93" s="49">
        <f t="shared" si="63"/>
        <v>31500</v>
      </c>
      <c r="S93" s="49">
        <f t="shared" si="64"/>
        <v>31500</v>
      </c>
      <c r="T93" s="51">
        <f t="shared" si="65"/>
        <v>189000</v>
      </c>
      <c r="U93" s="49">
        <f t="shared" si="66"/>
        <v>31500</v>
      </c>
      <c r="V93" s="49">
        <f t="shared" si="67"/>
        <v>31500</v>
      </c>
      <c r="W93" s="49">
        <f t="shared" si="68"/>
        <v>31500</v>
      </c>
      <c r="X93" s="49">
        <f t="shared" si="69"/>
        <v>31500</v>
      </c>
      <c r="Y93" s="49">
        <f t="shared" si="70"/>
        <v>31500</v>
      </c>
      <c r="Z93" s="49">
        <f t="shared" si="71"/>
        <v>31500</v>
      </c>
      <c r="AA93" s="49">
        <f t="shared" si="72"/>
        <v>31500</v>
      </c>
      <c r="AB93" s="49">
        <f t="shared" si="73"/>
        <v>31500</v>
      </c>
      <c r="AC93" s="49">
        <f t="shared" si="74"/>
        <v>31500</v>
      </c>
      <c r="AD93" s="49">
        <f t="shared" si="75"/>
        <v>31500</v>
      </c>
      <c r="AE93" s="49">
        <f t="shared" si="76"/>
        <v>31500</v>
      </c>
      <c r="AF93" s="49">
        <f t="shared" si="77"/>
        <v>31500</v>
      </c>
      <c r="AG93" s="51">
        <f t="shared" si="78"/>
        <v>378000</v>
      </c>
      <c r="AH93" s="52">
        <f t="shared" si="79"/>
        <v>567000</v>
      </c>
      <c r="AI93" s="52">
        <f t="shared" si="80"/>
        <v>340200</v>
      </c>
      <c r="AJ93" s="53"/>
    </row>
    <row r="94" spans="1:36" ht="15" customHeight="1">
      <c r="A94" s="43">
        <v>24</v>
      </c>
      <c r="B94" s="59" t="str">
        <f t="shared" si="82"/>
        <v>El Ajou Group</v>
      </c>
      <c r="C94" s="59" t="str">
        <f t="shared" si="82"/>
        <v>Yazan Darwish</v>
      </c>
      <c r="D94" s="60" t="str">
        <f t="shared" si="82"/>
        <v>Proposal Sent</v>
      </c>
      <c r="E94" s="61">
        <f t="shared" si="82"/>
        <v>0.6</v>
      </c>
      <c r="F94" s="60" t="str">
        <f t="shared" si="82"/>
        <v>Jeddah Modon 3B</v>
      </c>
      <c r="G94" s="62">
        <f t="shared" si="82"/>
        <v>46204</v>
      </c>
      <c r="H94" s="63">
        <v>0.75</v>
      </c>
      <c r="I94" s="49">
        <f t="shared" si="55"/>
        <v>380250</v>
      </c>
      <c r="J94" s="64">
        <f t="shared" si="83"/>
        <v>900</v>
      </c>
      <c r="K94" s="64">
        <f t="shared" si="83"/>
        <v>0</v>
      </c>
      <c r="L94" s="49">
        <f t="shared" si="57"/>
        <v>0</v>
      </c>
      <c r="M94" s="49">
        <f t="shared" si="58"/>
        <v>0</v>
      </c>
      <c r="N94" s="49">
        <f t="shared" si="59"/>
        <v>31687.5</v>
      </c>
      <c r="O94" s="49">
        <f t="shared" si="60"/>
        <v>31687.5</v>
      </c>
      <c r="P94" s="49">
        <f t="shared" si="61"/>
        <v>31687.5</v>
      </c>
      <c r="Q94" s="49">
        <f t="shared" si="62"/>
        <v>31687.5</v>
      </c>
      <c r="R94" s="49">
        <f t="shared" si="63"/>
        <v>31687.5</v>
      </c>
      <c r="S94" s="49">
        <f t="shared" si="64"/>
        <v>31687.5</v>
      </c>
      <c r="T94" s="51">
        <f t="shared" si="65"/>
        <v>190125</v>
      </c>
      <c r="U94" s="49">
        <f t="shared" si="66"/>
        <v>31687.5</v>
      </c>
      <c r="V94" s="49">
        <f t="shared" si="67"/>
        <v>31687.5</v>
      </c>
      <c r="W94" s="49">
        <f t="shared" si="68"/>
        <v>31687.5</v>
      </c>
      <c r="X94" s="49">
        <f t="shared" si="69"/>
        <v>31687.5</v>
      </c>
      <c r="Y94" s="49">
        <f t="shared" si="70"/>
        <v>31687.5</v>
      </c>
      <c r="Z94" s="49">
        <f t="shared" si="71"/>
        <v>31687.5</v>
      </c>
      <c r="AA94" s="49">
        <f t="shared" si="72"/>
        <v>31687.5</v>
      </c>
      <c r="AB94" s="49">
        <f t="shared" si="73"/>
        <v>31687.5</v>
      </c>
      <c r="AC94" s="49">
        <f t="shared" si="74"/>
        <v>31687.5</v>
      </c>
      <c r="AD94" s="49">
        <f t="shared" si="75"/>
        <v>31687.5</v>
      </c>
      <c r="AE94" s="49">
        <f t="shared" si="76"/>
        <v>31687.5</v>
      </c>
      <c r="AF94" s="49">
        <f t="shared" si="77"/>
        <v>31687.5</v>
      </c>
      <c r="AG94" s="51">
        <f t="shared" si="78"/>
        <v>380250</v>
      </c>
      <c r="AH94" s="52">
        <f t="shared" si="79"/>
        <v>570375</v>
      </c>
      <c r="AI94" s="52">
        <f t="shared" si="80"/>
        <v>342225</v>
      </c>
      <c r="AJ94" s="53"/>
    </row>
    <row r="95" spans="1:36" ht="15" customHeight="1">
      <c r="A95" s="43">
        <v>25</v>
      </c>
      <c r="B95" s="59" t="str">
        <f t="shared" si="82"/>
        <v>Astra Polymers</v>
      </c>
      <c r="C95" s="59" t="str">
        <f t="shared" si="82"/>
        <v>Yazan Darwish</v>
      </c>
      <c r="D95" s="60" t="str">
        <f t="shared" si="82"/>
        <v>Proposal Sent</v>
      </c>
      <c r="E95" s="61">
        <f t="shared" si="82"/>
        <v>0.6</v>
      </c>
      <c r="F95" s="60" t="str">
        <f t="shared" si="82"/>
        <v>Jeddah Modon 3B</v>
      </c>
      <c r="G95" s="62">
        <f t="shared" si="82"/>
        <v>46204</v>
      </c>
      <c r="H95" s="63">
        <v>0.75</v>
      </c>
      <c r="I95" s="49">
        <f t="shared" si="55"/>
        <v>95250</v>
      </c>
      <c r="J95" s="64">
        <f t="shared" si="83"/>
        <v>250</v>
      </c>
      <c r="K95" s="64">
        <f t="shared" si="83"/>
        <v>0</v>
      </c>
      <c r="L95" s="49">
        <f t="shared" si="57"/>
        <v>0</v>
      </c>
      <c r="M95" s="49">
        <f t="shared" si="58"/>
        <v>0</v>
      </c>
      <c r="N95" s="49">
        <f t="shared" si="59"/>
        <v>7937.5</v>
      </c>
      <c r="O95" s="49">
        <f t="shared" si="60"/>
        <v>7937.5</v>
      </c>
      <c r="P95" s="49">
        <f t="shared" si="61"/>
        <v>7937.5</v>
      </c>
      <c r="Q95" s="49">
        <f t="shared" si="62"/>
        <v>7937.5</v>
      </c>
      <c r="R95" s="49">
        <f t="shared" si="63"/>
        <v>7937.5</v>
      </c>
      <c r="S95" s="49">
        <f t="shared" si="64"/>
        <v>7937.5</v>
      </c>
      <c r="T95" s="51">
        <f t="shared" si="65"/>
        <v>47625</v>
      </c>
      <c r="U95" s="49">
        <f t="shared" si="66"/>
        <v>7937.5</v>
      </c>
      <c r="V95" s="49">
        <f t="shared" si="67"/>
        <v>7937.5</v>
      </c>
      <c r="W95" s="49">
        <f t="shared" si="68"/>
        <v>7937.5</v>
      </c>
      <c r="X95" s="49">
        <f t="shared" si="69"/>
        <v>7937.5</v>
      </c>
      <c r="Y95" s="49">
        <f t="shared" si="70"/>
        <v>7937.5</v>
      </c>
      <c r="Z95" s="49">
        <f t="shared" si="71"/>
        <v>7937.5</v>
      </c>
      <c r="AA95" s="49">
        <f t="shared" si="72"/>
        <v>7937.5</v>
      </c>
      <c r="AB95" s="49">
        <f t="shared" si="73"/>
        <v>7937.5</v>
      </c>
      <c r="AC95" s="49">
        <f t="shared" si="74"/>
        <v>7937.5</v>
      </c>
      <c r="AD95" s="49">
        <f t="shared" si="75"/>
        <v>7937.5</v>
      </c>
      <c r="AE95" s="49">
        <f t="shared" si="76"/>
        <v>7937.5</v>
      </c>
      <c r="AF95" s="49">
        <f t="shared" si="77"/>
        <v>7937.5</v>
      </c>
      <c r="AG95" s="51">
        <f t="shared" si="78"/>
        <v>95250</v>
      </c>
      <c r="AH95" s="52">
        <f t="shared" si="79"/>
        <v>142875</v>
      </c>
      <c r="AI95" s="52">
        <f t="shared" si="80"/>
        <v>85725</v>
      </c>
      <c r="AJ95" s="53"/>
    </row>
    <row r="96" spans="1:36" ht="15" customHeight="1">
      <c r="A96" s="43">
        <v>26</v>
      </c>
      <c r="B96" s="59" t="str">
        <f t="shared" si="82"/>
        <v>Shuran Plastic</v>
      </c>
      <c r="C96" s="59" t="str">
        <f t="shared" si="82"/>
        <v>Simon Reah</v>
      </c>
      <c r="D96" s="60" t="str">
        <f t="shared" si="82"/>
        <v>Proposal Sent</v>
      </c>
      <c r="E96" s="61">
        <f t="shared" si="82"/>
        <v>0.6</v>
      </c>
      <c r="F96" s="60" t="str">
        <f t="shared" si="82"/>
        <v>Jeddah Modon 3B</v>
      </c>
      <c r="G96" s="62">
        <f t="shared" si="82"/>
        <v>46174</v>
      </c>
      <c r="H96" s="63">
        <v>0.75</v>
      </c>
      <c r="I96" s="49">
        <f t="shared" si="55"/>
        <v>634500</v>
      </c>
      <c r="J96" s="64">
        <f t="shared" si="83"/>
        <v>0</v>
      </c>
      <c r="K96" s="64">
        <f t="shared" si="83"/>
        <v>1500</v>
      </c>
      <c r="L96" s="49">
        <f t="shared" si="57"/>
        <v>0</v>
      </c>
      <c r="M96" s="49">
        <f t="shared" si="58"/>
        <v>52875</v>
      </c>
      <c r="N96" s="49">
        <f t="shared" si="59"/>
        <v>52875</v>
      </c>
      <c r="O96" s="49">
        <f t="shared" si="60"/>
        <v>52875</v>
      </c>
      <c r="P96" s="49">
        <f t="shared" si="61"/>
        <v>52875</v>
      </c>
      <c r="Q96" s="49">
        <f t="shared" si="62"/>
        <v>52875</v>
      </c>
      <c r="R96" s="49">
        <f t="shared" si="63"/>
        <v>52875</v>
      </c>
      <c r="S96" s="49">
        <f t="shared" si="64"/>
        <v>52875</v>
      </c>
      <c r="T96" s="51">
        <f t="shared" si="65"/>
        <v>370125</v>
      </c>
      <c r="U96" s="49">
        <f t="shared" si="66"/>
        <v>52875</v>
      </c>
      <c r="V96" s="49">
        <f t="shared" si="67"/>
        <v>52875</v>
      </c>
      <c r="W96" s="49">
        <f t="shared" si="68"/>
        <v>52875</v>
      </c>
      <c r="X96" s="49">
        <f t="shared" si="69"/>
        <v>52875</v>
      </c>
      <c r="Y96" s="49">
        <f t="shared" si="70"/>
        <v>52875</v>
      </c>
      <c r="Z96" s="49">
        <f t="shared" si="71"/>
        <v>52875</v>
      </c>
      <c r="AA96" s="49">
        <f t="shared" si="72"/>
        <v>52875</v>
      </c>
      <c r="AB96" s="49">
        <f t="shared" si="73"/>
        <v>52875</v>
      </c>
      <c r="AC96" s="49">
        <f t="shared" si="74"/>
        <v>52875</v>
      </c>
      <c r="AD96" s="49">
        <f t="shared" si="75"/>
        <v>52875</v>
      </c>
      <c r="AE96" s="49">
        <f t="shared" si="76"/>
        <v>52875</v>
      </c>
      <c r="AF96" s="49">
        <f t="shared" si="77"/>
        <v>52875</v>
      </c>
      <c r="AG96" s="51">
        <f t="shared" si="78"/>
        <v>634500</v>
      </c>
      <c r="AH96" s="52">
        <f t="shared" si="79"/>
        <v>1004625</v>
      </c>
      <c r="AI96" s="52">
        <f t="shared" si="80"/>
        <v>602775</v>
      </c>
      <c r="AJ96" s="53"/>
    </row>
    <row r="97" spans="1:36" ht="15" customHeight="1">
      <c r="A97" s="43">
        <v>27</v>
      </c>
      <c r="B97" s="59" t="str">
        <f t="shared" si="82"/>
        <v>Solenis</v>
      </c>
      <c r="C97" s="59" t="str">
        <f t="shared" si="82"/>
        <v>Amin AlHalabi</v>
      </c>
      <c r="D97" s="60" t="str">
        <f t="shared" si="82"/>
        <v>Proposal Sent</v>
      </c>
      <c r="E97" s="61">
        <f t="shared" si="82"/>
        <v>0.6</v>
      </c>
      <c r="F97" s="60" t="str">
        <f t="shared" si="82"/>
        <v>RUH Tayba</v>
      </c>
      <c r="G97" s="62">
        <f t="shared" si="82"/>
        <v>46266</v>
      </c>
      <c r="H97" s="63">
        <v>0.75</v>
      </c>
      <c r="I97" s="49">
        <f t="shared" si="55"/>
        <v>1305000</v>
      </c>
      <c r="J97" s="64">
        <f t="shared" si="83"/>
        <v>3000</v>
      </c>
      <c r="K97" s="64">
        <f t="shared" si="83"/>
        <v>0</v>
      </c>
      <c r="L97" s="49">
        <f t="shared" si="57"/>
        <v>0</v>
      </c>
      <c r="M97" s="49">
        <f t="shared" si="58"/>
        <v>0</v>
      </c>
      <c r="N97" s="49">
        <f t="shared" si="59"/>
        <v>0</v>
      </c>
      <c r="O97" s="49">
        <f t="shared" si="60"/>
        <v>0</v>
      </c>
      <c r="P97" s="49">
        <f t="shared" si="61"/>
        <v>108750</v>
      </c>
      <c r="Q97" s="49">
        <f t="shared" si="62"/>
        <v>108750</v>
      </c>
      <c r="R97" s="49">
        <f t="shared" si="63"/>
        <v>108750</v>
      </c>
      <c r="S97" s="49">
        <f t="shared" si="64"/>
        <v>108750</v>
      </c>
      <c r="T97" s="51">
        <f t="shared" si="65"/>
        <v>435000</v>
      </c>
      <c r="U97" s="49">
        <f t="shared" si="66"/>
        <v>108750</v>
      </c>
      <c r="V97" s="49">
        <f t="shared" si="67"/>
        <v>108750</v>
      </c>
      <c r="W97" s="49">
        <f t="shared" si="68"/>
        <v>108750</v>
      </c>
      <c r="X97" s="49">
        <f t="shared" si="69"/>
        <v>108750</v>
      </c>
      <c r="Y97" s="49">
        <f t="shared" si="70"/>
        <v>108750</v>
      </c>
      <c r="Z97" s="49">
        <f t="shared" si="71"/>
        <v>108750</v>
      </c>
      <c r="AA97" s="49">
        <f t="shared" si="72"/>
        <v>108750</v>
      </c>
      <c r="AB97" s="49">
        <f t="shared" si="73"/>
        <v>108750</v>
      </c>
      <c r="AC97" s="49">
        <f t="shared" si="74"/>
        <v>108750</v>
      </c>
      <c r="AD97" s="49">
        <f t="shared" si="75"/>
        <v>108750</v>
      </c>
      <c r="AE97" s="49">
        <f t="shared" si="76"/>
        <v>108750</v>
      </c>
      <c r="AF97" s="49">
        <f t="shared" si="77"/>
        <v>108750</v>
      </c>
      <c r="AG97" s="51">
        <f t="shared" si="78"/>
        <v>1305000</v>
      </c>
      <c r="AH97" s="52">
        <f t="shared" si="79"/>
        <v>1740000</v>
      </c>
      <c r="AI97" s="52">
        <f t="shared" si="80"/>
        <v>1044000</v>
      </c>
      <c r="AJ97" s="53"/>
    </row>
    <row r="98" spans="1:36" ht="15" customHeight="1">
      <c r="A98" s="43">
        <v>28</v>
      </c>
      <c r="B98" s="59" t="str">
        <f t="shared" si="82"/>
        <v>Kuehne &amp; Nagel</v>
      </c>
      <c r="C98" s="59" t="str">
        <f t="shared" si="82"/>
        <v>Simon Reah</v>
      </c>
      <c r="D98" s="60" t="str">
        <f t="shared" si="82"/>
        <v>Proposal Sent</v>
      </c>
      <c r="E98" s="61">
        <f t="shared" si="82"/>
        <v>0.6</v>
      </c>
      <c r="F98" s="60" t="str">
        <f t="shared" si="82"/>
        <v>RUH Tayba</v>
      </c>
      <c r="G98" s="62">
        <f t="shared" si="82"/>
        <v>46327</v>
      </c>
      <c r="H98" s="63">
        <v>0.75</v>
      </c>
      <c r="I98" s="49">
        <f t="shared" si="55"/>
        <v>4576500</v>
      </c>
      <c r="J98" s="64">
        <f t="shared" si="83"/>
        <v>2500</v>
      </c>
      <c r="K98" s="64">
        <f t="shared" si="83"/>
        <v>0</v>
      </c>
      <c r="L98" s="49">
        <f t="shared" si="57"/>
        <v>0</v>
      </c>
      <c r="M98" s="49">
        <f t="shared" si="58"/>
        <v>0</v>
      </c>
      <c r="N98" s="49">
        <f t="shared" si="59"/>
        <v>0</v>
      </c>
      <c r="O98" s="49">
        <f t="shared" si="60"/>
        <v>0</v>
      </c>
      <c r="P98" s="49">
        <f t="shared" si="61"/>
        <v>0</v>
      </c>
      <c r="Q98" s="49">
        <f t="shared" si="62"/>
        <v>0</v>
      </c>
      <c r="R98" s="49">
        <f t="shared" si="63"/>
        <v>381375</v>
      </c>
      <c r="S98" s="49">
        <f t="shared" si="64"/>
        <v>381375</v>
      </c>
      <c r="T98" s="51">
        <f t="shared" si="65"/>
        <v>762750</v>
      </c>
      <c r="U98" s="49">
        <f t="shared" si="66"/>
        <v>381375</v>
      </c>
      <c r="V98" s="49">
        <f t="shared" si="67"/>
        <v>381375</v>
      </c>
      <c r="W98" s="49">
        <f t="shared" si="68"/>
        <v>381375</v>
      </c>
      <c r="X98" s="49">
        <f t="shared" si="69"/>
        <v>381375</v>
      </c>
      <c r="Y98" s="49">
        <f t="shared" si="70"/>
        <v>381375</v>
      </c>
      <c r="Z98" s="49">
        <f t="shared" si="71"/>
        <v>381375</v>
      </c>
      <c r="AA98" s="49">
        <f t="shared" si="72"/>
        <v>381375</v>
      </c>
      <c r="AB98" s="49">
        <f t="shared" si="73"/>
        <v>381375</v>
      </c>
      <c r="AC98" s="49">
        <f t="shared" si="74"/>
        <v>381375</v>
      </c>
      <c r="AD98" s="49">
        <f t="shared" si="75"/>
        <v>381375</v>
      </c>
      <c r="AE98" s="49">
        <f t="shared" si="76"/>
        <v>381375</v>
      </c>
      <c r="AF98" s="49">
        <f t="shared" si="77"/>
        <v>381375</v>
      </c>
      <c r="AG98" s="51">
        <f t="shared" si="78"/>
        <v>4576500</v>
      </c>
      <c r="AH98" s="52">
        <f t="shared" si="79"/>
        <v>5339250</v>
      </c>
      <c r="AI98" s="52">
        <f t="shared" si="80"/>
        <v>3203550</v>
      </c>
      <c r="AJ98" s="53"/>
    </row>
    <row r="99" spans="1:36" ht="15" customHeight="1">
      <c r="A99" s="43">
        <v>29</v>
      </c>
      <c r="B99" s="59" t="str">
        <f t="shared" si="82"/>
        <v>United Carton</v>
      </c>
      <c r="C99" s="59" t="str">
        <f t="shared" si="82"/>
        <v>Simon Reah</v>
      </c>
      <c r="D99" s="60" t="str">
        <f t="shared" si="82"/>
        <v>Proposal Sent</v>
      </c>
      <c r="E99" s="61">
        <f t="shared" si="82"/>
        <v>0.6</v>
      </c>
      <c r="F99" s="60" t="str">
        <f t="shared" si="82"/>
        <v>RUH Tayba</v>
      </c>
      <c r="G99" s="62">
        <f t="shared" si="82"/>
        <v>46204</v>
      </c>
      <c r="H99" s="63">
        <v>0.75</v>
      </c>
      <c r="I99" s="49">
        <f t="shared" si="55"/>
        <v>378000</v>
      </c>
      <c r="J99" s="64">
        <f t="shared" si="83"/>
        <v>1200</v>
      </c>
      <c r="K99" s="64">
        <f t="shared" si="83"/>
        <v>0</v>
      </c>
      <c r="L99" s="49">
        <f t="shared" si="57"/>
        <v>0</v>
      </c>
      <c r="M99" s="49">
        <f t="shared" si="58"/>
        <v>0</v>
      </c>
      <c r="N99" s="49">
        <f t="shared" si="59"/>
        <v>31500</v>
      </c>
      <c r="O99" s="49">
        <f t="shared" si="60"/>
        <v>31500</v>
      </c>
      <c r="P99" s="49">
        <f t="shared" si="61"/>
        <v>31500</v>
      </c>
      <c r="Q99" s="49">
        <f t="shared" si="62"/>
        <v>31500</v>
      </c>
      <c r="R99" s="49">
        <f t="shared" si="63"/>
        <v>31500</v>
      </c>
      <c r="S99" s="49">
        <f t="shared" si="64"/>
        <v>31500</v>
      </c>
      <c r="T99" s="51">
        <f t="shared" si="65"/>
        <v>189000</v>
      </c>
      <c r="U99" s="49">
        <f t="shared" si="66"/>
        <v>31500</v>
      </c>
      <c r="V99" s="49">
        <f t="shared" si="67"/>
        <v>31500</v>
      </c>
      <c r="W99" s="49">
        <f t="shared" si="68"/>
        <v>31500</v>
      </c>
      <c r="X99" s="49">
        <f t="shared" si="69"/>
        <v>31500</v>
      </c>
      <c r="Y99" s="49">
        <f t="shared" si="70"/>
        <v>31500</v>
      </c>
      <c r="Z99" s="49">
        <f t="shared" si="71"/>
        <v>31500</v>
      </c>
      <c r="AA99" s="49">
        <f t="shared" si="72"/>
        <v>31500</v>
      </c>
      <c r="AB99" s="49">
        <f t="shared" si="73"/>
        <v>31500</v>
      </c>
      <c r="AC99" s="49">
        <f t="shared" si="74"/>
        <v>31500</v>
      </c>
      <c r="AD99" s="49">
        <f t="shared" si="75"/>
        <v>31500</v>
      </c>
      <c r="AE99" s="49">
        <f t="shared" si="76"/>
        <v>31500</v>
      </c>
      <c r="AF99" s="49">
        <f t="shared" si="77"/>
        <v>31500</v>
      </c>
      <c r="AG99" s="51">
        <f t="shared" si="78"/>
        <v>378000</v>
      </c>
      <c r="AH99" s="52">
        <f t="shared" si="79"/>
        <v>567000</v>
      </c>
      <c r="AI99" s="52">
        <f t="shared" si="80"/>
        <v>340200</v>
      </c>
      <c r="AJ99" s="53"/>
    </row>
    <row r="100" spans="1:36" ht="19.5" customHeight="1">
      <c r="A100" s="43">
        <v>30</v>
      </c>
      <c r="B100" s="59" t="str">
        <f t="shared" si="82"/>
        <v>Kuehne &amp; Nagel</v>
      </c>
      <c r="C100" s="59" t="str">
        <f t="shared" si="82"/>
        <v>Simon Reah</v>
      </c>
      <c r="D100" s="60" t="str">
        <f t="shared" si="82"/>
        <v>Proposal Sent</v>
      </c>
      <c r="E100" s="61">
        <f t="shared" si="82"/>
        <v>0.6</v>
      </c>
      <c r="F100" s="60" t="str">
        <f t="shared" si="82"/>
        <v>RUH Tayba</v>
      </c>
      <c r="G100" s="62">
        <f t="shared" si="82"/>
        <v>46204</v>
      </c>
      <c r="H100" s="63">
        <v>0.75</v>
      </c>
      <c r="I100" s="49">
        <f t="shared" si="55"/>
        <v>1518750</v>
      </c>
      <c r="J100" s="64">
        <f t="shared" si="83"/>
        <v>0</v>
      </c>
      <c r="K100" s="64">
        <f t="shared" si="83"/>
        <v>5000</v>
      </c>
      <c r="L100" s="49">
        <f t="shared" si="57"/>
        <v>0</v>
      </c>
      <c r="M100" s="49">
        <f t="shared" si="58"/>
        <v>0</v>
      </c>
      <c r="N100" s="49">
        <f t="shared" si="59"/>
        <v>126562.5</v>
      </c>
      <c r="O100" s="49">
        <f t="shared" si="60"/>
        <v>126562.5</v>
      </c>
      <c r="P100" s="49">
        <f t="shared" si="61"/>
        <v>126562.5</v>
      </c>
      <c r="Q100" s="49">
        <f t="shared" si="62"/>
        <v>126562.5</v>
      </c>
      <c r="R100" s="49">
        <f t="shared" si="63"/>
        <v>126562.5</v>
      </c>
      <c r="S100" s="49">
        <f t="shared" si="64"/>
        <v>126562.5</v>
      </c>
      <c r="T100" s="51">
        <f t="shared" si="65"/>
        <v>759375</v>
      </c>
      <c r="U100" s="49">
        <f t="shared" si="66"/>
        <v>126562.5</v>
      </c>
      <c r="V100" s="49">
        <f t="shared" si="67"/>
        <v>126562.5</v>
      </c>
      <c r="W100" s="49">
        <f t="shared" si="68"/>
        <v>126562.5</v>
      </c>
      <c r="X100" s="49">
        <f t="shared" si="69"/>
        <v>126562.5</v>
      </c>
      <c r="Y100" s="49">
        <f t="shared" si="70"/>
        <v>126562.5</v>
      </c>
      <c r="Z100" s="49">
        <f t="shared" si="71"/>
        <v>126562.5</v>
      </c>
      <c r="AA100" s="49">
        <f t="shared" si="72"/>
        <v>126562.5</v>
      </c>
      <c r="AB100" s="49">
        <f t="shared" si="73"/>
        <v>126562.5</v>
      </c>
      <c r="AC100" s="49">
        <f t="shared" si="74"/>
        <v>126562.5</v>
      </c>
      <c r="AD100" s="49">
        <f t="shared" si="75"/>
        <v>126562.5</v>
      </c>
      <c r="AE100" s="49">
        <f t="shared" si="76"/>
        <v>126562.5</v>
      </c>
      <c r="AF100" s="49">
        <f t="shared" si="77"/>
        <v>126562.5</v>
      </c>
      <c r="AG100" s="51">
        <f t="shared" si="78"/>
        <v>1518750</v>
      </c>
      <c r="AH100" s="52">
        <f t="shared" si="79"/>
        <v>2278125</v>
      </c>
      <c r="AI100" s="52">
        <f t="shared" si="80"/>
        <v>1366875</v>
      </c>
      <c r="AJ100" s="53"/>
    </row>
    <row r="101" spans="1:36" ht="15" customHeight="1">
      <c r="A101" s="43">
        <v>31</v>
      </c>
      <c r="B101" s="59" t="str">
        <f t="shared" ref="B101:G110" si="84">IF(B36="","",B36)</f>
        <v>Kuehne &amp; Nagel</v>
      </c>
      <c r="C101" s="59" t="str">
        <f t="shared" si="84"/>
        <v>Simon Reah</v>
      </c>
      <c r="D101" s="60" t="str">
        <f t="shared" si="84"/>
        <v>Proposal Sent</v>
      </c>
      <c r="E101" s="61">
        <f t="shared" si="84"/>
        <v>0.6</v>
      </c>
      <c r="F101" s="60" t="str">
        <f t="shared" si="84"/>
        <v>RUH Tayba</v>
      </c>
      <c r="G101" s="62">
        <f t="shared" si="84"/>
        <v>46157</v>
      </c>
      <c r="H101" s="63">
        <v>0.75</v>
      </c>
      <c r="I101" s="49">
        <f t="shared" si="55"/>
        <v>73534.5</v>
      </c>
      <c r="J101" s="64">
        <f t="shared" si="83"/>
        <v>0</v>
      </c>
      <c r="K101" s="64">
        <f t="shared" si="83"/>
        <v>150</v>
      </c>
      <c r="L101" s="49">
        <f t="shared" si="57"/>
        <v>6127.875</v>
      </c>
      <c r="M101" s="49">
        <f t="shared" si="58"/>
        <v>6127.875</v>
      </c>
      <c r="N101" s="49">
        <f t="shared" si="59"/>
        <v>6127.875</v>
      </c>
      <c r="O101" s="49">
        <f t="shared" si="60"/>
        <v>6127.875</v>
      </c>
      <c r="P101" s="49">
        <f t="shared" si="61"/>
        <v>6127.875</v>
      </c>
      <c r="Q101" s="49">
        <f t="shared" si="62"/>
        <v>6127.875</v>
      </c>
      <c r="R101" s="49">
        <f t="shared" si="63"/>
        <v>6127.875</v>
      </c>
      <c r="S101" s="49">
        <f t="shared" si="64"/>
        <v>6127.875</v>
      </c>
      <c r="T101" s="51">
        <f t="shared" si="65"/>
        <v>49023</v>
      </c>
      <c r="U101" s="49">
        <f t="shared" si="66"/>
        <v>6127.875</v>
      </c>
      <c r="V101" s="49">
        <f t="shared" si="67"/>
        <v>6127.875</v>
      </c>
      <c r="W101" s="49">
        <f t="shared" si="68"/>
        <v>6127.875</v>
      </c>
      <c r="X101" s="49">
        <f t="shared" si="69"/>
        <v>6127.875</v>
      </c>
      <c r="Y101" s="49">
        <f t="shared" si="70"/>
        <v>6127.875</v>
      </c>
      <c r="Z101" s="49">
        <f t="shared" si="71"/>
        <v>6127.875</v>
      </c>
      <c r="AA101" s="49">
        <f t="shared" si="72"/>
        <v>6127.875</v>
      </c>
      <c r="AB101" s="49">
        <f t="shared" si="73"/>
        <v>6127.875</v>
      </c>
      <c r="AC101" s="49">
        <f t="shared" si="74"/>
        <v>6127.875</v>
      </c>
      <c r="AD101" s="49">
        <f t="shared" si="75"/>
        <v>6127.875</v>
      </c>
      <c r="AE101" s="49">
        <f t="shared" si="76"/>
        <v>6127.875</v>
      </c>
      <c r="AF101" s="49">
        <f t="shared" si="77"/>
        <v>6127.875</v>
      </c>
      <c r="AG101" s="51">
        <f t="shared" si="78"/>
        <v>73534.5</v>
      </c>
      <c r="AH101" s="52">
        <f t="shared" si="79"/>
        <v>122557.5</v>
      </c>
      <c r="AI101" s="52">
        <f t="shared" si="80"/>
        <v>73534.5</v>
      </c>
      <c r="AJ101" s="53"/>
    </row>
    <row r="102" spans="1:36" ht="15" customHeight="1">
      <c r="A102" s="43">
        <v>32</v>
      </c>
      <c r="B102" s="59" t="str">
        <f t="shared" si="84"/>
        <v>Baxter</v>
      </c>
      <c r="C102" s="59" t="str">
        <f t="shared" si="84"/>
        <v>Yazan Darwish</v>
      </c>
      <c r="D102" s="60" t="str">
        <f t="shared" si="84"/>
        <v>Proposal Sent</v>
      </c>
      <c r="E102" s="61">
        <f t="shared" si="84"/>
        <v>0.6</v>
      </c>
      <c r="F102" s="60" t="str">
        <f t="shared" si="84"/>
        <v>Subcontractor</v>
      </c>
      <c r="G102" s="62">
        <f t="shared" si="84"/>
        <v>46174</v>
      </c>
      <c r="H102" s="63">
        <v>0.75</v>
      </c>
      <c r="I102" s="49">
        <f t="shared" si="55"/>
        <v>750000</v>
      </c>
      <c r="J102" s="64">
        <f t="shared" si="83"/>
        <v>2500</v>
      </c>
      <c r="K102" s="64">
        <f t="shared" si="83"/>
        <v>0</v>
      </c>
      <c r="L102" s="49">
        <f t="shared" si="57"/>
        <v>0</v>
      </c>
      <c r="M102" s="49">
        <f t="shared" si="58"/>
        <v>62500</v>
      </c>
      <c r="N102" s="49">
        <f t="shared" si="59"/>
        <v>62500</v>
      </c>
      <c r="O102" s="49">
        <f t="shared" si="60"/>
        <v>62500</v>
      </c>
      <c r="P102" s="49">
        <f t="shared" si="61"/>
        <v>62500</v>
      </c>
      <c r="Q102" s="49">
        <f t="shared" si="62"/>
        <v>62500</v>
      </c>
      <c r="R102" s="49">
        <f t="shared" si="63"/>
        <v>62500</v>
      </c>
      <c r="S102" s="49">
        <f t="shared" si="64"/>
        <v>62500</v>
      </c>
      <c r="T102" s="51">
        <f t="shared" si="65"/>
        <v>437500</v>
      </c>
      <c r="U102" s="49">
        <f t="shared" si="66"/>
        <v>62500</v>
      </c>
      <c r="V102" s="49">
        <f t="shared" si="67"/>
        <v>62500</v>
      </c>
      <c r="W102" s="49">
        <f t="shared" si="68"/>
        <v>62500</v>
      </c>
      <c r="X102" s="49">
        <f t="shared" si="69"/>
        <v>62500</v>
      </c>
      <c r="Y102" s="49">
        <f t="shared" si="70"/>
        <v>62500</v>
      </c>
      <c r="Z102" s="49">
        <f t="shared" si="71"/>
        <v>62500</v>
      </c>
      <c r="AA102" s="49">
        <f t="shared" si="72"/>
        <v>62500</v>
      </c>
      <c r="AB102" s="49">
        <f t="shared" si="73"/>
        <v>62500</v>
      </c>
      <c r="AC102" s="49">
        <f t="shared" si="74"/>
        <v>62500</v>
      </c>
      <c r="AD102" s="49">
        <f t="shared" si="75"/>
        <v>62500</v>
      </c>
      <c r="AE102" s="49">
        <f t="shared" si="76"/>
        <v>62500</v>
      </c>
      <c r="AF102" s="49">
        <f t="shared" si="77"/>
        <v>62500</v>
      </c>
      <c r="AG102" s="51">
        <f t="shared" si="78"/>
        <v>750000</v>
      </c>
      <c r="AH102" s="52">
        <f t="shared" si="79"/>
        <v>1187500</v>
      </c>
      <c r="AI102" s="52">
        <f t="shared" si="80"/>
        <v>712500</v>
      </c>
      <c r="AJ102" s="53"/>
    </row>
    <row r="103" spans="1:36" ht="15" customHeight="1">
      <c r="A103" s="43">
        <v>33</v>
      </c>
      <c r="B103" s="59" t="str">
        <f t="shared" si="84"/>
        <v>Al Nahdi</v>
      </c>
      <c r="C103" s="59" t="str">
        <f t="shared" si="84"/>
        <v>Simon Reah</v>
      </c>
      <c r="D103" s="60" t="str">
        <f t="shared" si="84"/>
        <v>Proposal Sent</v>
      </c>
      <c r="E103" s="61">
        <f t="shared" si="84"/>
        <v>0.6</v>
      </c>
      <c r="F103" s="60" t="str">
        <f t="shared" si="84"/>
        <v>Subcontractor</v>
      </c>
      <c r="G103" s="62">
        <f t="shared" si="84"/>
        <v>46143</v>
      </c>
      <c r="H103" s="63">
        <v>0.75</v>
      </c>
      <c r="I103" s="49">
        <f t="shared" ref="I103:I130" si="85">IF(OR(H103="",H38=""),0,H103*H38)</f>
        <v>600000</v>
      </c>
      <c r="J103" s="64">
        <f t="shared" si="83"/>
        <v>2000</v>
      </c>
      <c r="K103" s="64">
        <f t="shared" si="83"/>
        <v>0</v>
      </c>
      <c r="L103" s="49">
        <f t="shared" ref="L103:L130" si="86">IF(OR(G103="",I103=0),0,IF(DATE(2026,5,1)&gt;=DATE(YEAR(G103),MONTH(G103),1),I103/12,0))</f>
        <v>50000</v>
      </c>
      <c r="M103" s="49">
        <f t="shared" ref="M103:M130" si="87">IF(OR(G103="",I103=0),0,IF(DATE(2026,6,1)&gt;=DATE(YEAR(G103),MONTH(G103),1),I103/12,0))</f>
        <v>50000</v>
      </c>
      <c r="N103" s="49">
        <f t="shared" ref="N103:N130" si="88">IF(OR(G103="",I103=0),0,IF(DATE(2026,7,1)&gt;=DATE(YEAR(G103),MONTH(G103),1),I103/12,0))</f>
        <v>50000</v>
      </c>
      <c r="O103" s="49">
        <f t="shared" ref="O103:O130" si="89">IF(OR(G103="",I103=0),0,IF(DATE(2026,8,1)&gt;=DATE(YEAR(G103),MONTH(G103),1),I103/12,0))</f>
        <v>50000</v>
      </c>
      <c r="P103" s="49">
        <f t="shared" ref="P103:P130" si="90">IF(OR(G103="",I103=0),0,IF(DATE(2026,9,1)&gt;=DATE(YEAR(G103),MONTH(G103),1),I103/12,0))</f>
        <v>50000</v>
      </c>
      <c r="Q103" s="49">
        <f t="shared" ref="Q103:Q130" si="91">IF(OR(G103="",I103=0),0,IF(DATE(2026,10,1)&gt;=DATE(YEAR(G103),MONTH(G103),1),I103/12,0))</f>
        <v>50000</v>
      </c>
      <c r="R103" s="49">
        <f t="shared" ref="R103:R130" si="92">IF(OR(G103="",I103=0),0,IF(DATE(2026,11,1)&gt;=DATE(YEAR(G103),MONTH(G103),1),I103/12,0))</f>
        <v>50000</v>
      </c>
      <c r="S103" s="49">
        <f t="shared" ref="S103:S130" si="93">IF(OR(G103="",I103=0),0,IF(DATE(2026,12,1)&gt;=DATE(YEAR(G103),MONTH(G103),1),I103/12,0))</f>
        <v>50000</v>
      </c>
      <c r="T103" s="51">
        <f t="shared" ref="T103:T132" si="94">SUM(L103:S103)</f>
        <v>400000</v>
      </c>
      <c r="U103" s="49">
        <f t="shared" ref="U103:U130" si="95">IF(OR(G103="",I103=0),0,IF(DATE(2027,1,1)&gt;=DATE(YEAR(G103),MONTH(G103),1),I103/12,0))</f>
        <v>50000</v>
      </c>
      <c r="V103" s="49">
        <f t="shared" ref="V103:V130" si="96">IF(OR(G103="",I103=0),0,IF(DATE(2027,2,1)&gt;=DATE(YEAR(G103),MONTH(G103),1),I103/12,0))</f>
        <v>50000</v>
      </c>
      <c r="W103" s="49">
        <f t="shared" ref="W103:W130" si="97">IF(OR(G103="",I103=0),0,IF(DATE(2027,3,1)&gt;=DATE(YEAR(G103),MONTH(G103),1),I103/12,0))</f>
        <v>50000</v>
      </c>
      <c r="X103" s="49">
        <f t="shared" ref="X103:X130" si="98">IF(OR(G103="",I103=0),0,IF(DATE(2027,4,1)&gt;=DATE(YEAR(G103),MONTH(G103),1),I103/12,0))</f>
        <v>50000</v>
      </c>
      <c r="Y103" s="49">
        <f t="shared" ref="Y103:Y130" si="99">IF(OR(G103="",I103=0),0,IF(DATE(2027,5,1)&gt;=DATE(YEAR(G103),MONTH(G103),1),I103/12,0))</f>
        <v>50000</v>
      </c>
      <c r="Z103" s="49">
        <f t="shared" ref="Z103:Z130" si="100">IF(OR(G103="",I103=0),0,IF(DATE(2027,6,1)&gt;=DATE(YEAR(G103),MONTH(G103),1),I103/12,0))</f>
        <v>50000</v>
      </c>
      <c r="AA103" s="49">
        <f t="shared" ref="AA103:AA130" si="101">IF(OR(G103="",I103=0),0,IF(DATE(2027,7,1)&gt;=DATE(YEAR(G103),MONTH(G103),1),I103/12,0))</f>
        <v>50000</v>
      </c>
      <c r="AB103" s="49">
        <f t="shared" ref="AB103:AB130" si="102">IF(OR(G103="",I103=0),0,IF(DATE(2027,8,1)&gt;=DATE(YEAR(G103),MONTH(G103),1),I103/12,0))</f>
        <v>50000</v>
      </c>
      <c r="AC103" s="49">
        <f t="shared" ref="AC103:AC130" si="103">IF(OR(G103="",I103=0),0,IF(DATE(2027,9,1)&gt;=DATE(YEAR(G103),MONTH(G103),1),I103/12,0))</f>
        <v>50000</v>
      </c>
      <c r="AD103" s="49">
        <f t="shared" ref="AD103:AD130" si="104">IF(OR(G103="",I103=0),0,IF(DATE(2027,10,1)&gt;=DATE(YEAR(G103),MONTH(G103),1),I103/12,0))</f>
        <v>50000</v>
      </c>
      <c r="AE103" s="49">
        <f t="shared" ref="AE103:AE130" si="105">IF(OR(G103="",I103=0),0,IF(DATE(2027,11,1)&gt;=DATE(YEAR(G103),MONTH(G103),1),I103/12,0))</f>
        <v>50000</v>
      </c>
      <c r="AF103" s="49">
        <f t="shared" ref="AF103:AF130" si="106">IF(OR(G103="",I103=0),0,IF(DATE(2027,12,1)&gt;=DATE(YEAR(G103),MONTH(G103),1),I103/12,0))</f>
        <v>50000</v>
      </c>
      <c r="AG103" s="51">
        <f t="shared" ref="AG103:AG132" si="107">SUM(U103:AF103)</f>
        <v>600000</v>
      </c>
      <c r="AH103" s="52">
        <f t="shared" ref="AH103:AH132" si="108">T103+AG103</f>
        <v>1000000</v>
      </c>
      <c r="AI103" s="52">
        <f t="shared" ref="AI103:AI130" si="109">IF(OR(E103="",AH103=""),"",E103*AH103)</f>
        <v>600000</v>
      </c>
      <c r="AJ103" s="53"/>
    </row>
    <row r="104" spans="1:36" ht="15" customHeight="1">
      <c r="A104" s="43">
        <v>34</v>
      </c>
      <c r="B104" s="59" t="str">
        <f t="shared" si="84"/>
        <v>HMH</v>
      </c>
      <c r="C104" s="59" t="str">
        <f t="shared" si="84"/>
        <v>Yazan Darwish</v>
      </c>
      <c r="D104" s="60" t="str">
        <f t="shared" si="84"/>
        <v>Qualified</v>
      </c>
      <c r="E104" s="61">
        <f t="shared" si="84"/>
        <v>0.4</v>
      </c>
      <c r="F104" s="60" t="str">
        <f t="shared" si="84"/>
        <v>Contract Logistics</v>
      </c>
      <c r="G104" s="62">
        <f t="shared" si="84"/>
        <v>46174</v>
      </c>
      <c r="H104" s="63">
        <v>0.75</v>
      </c>
      <c r="I104" s="49">
        <f t="shared" si="85"/>
        <v>637500</v>
      </c>
      <c r="J104" s="64">
        <f t="shared" si="83"/>
        <v>0</v>
      </c>
      <c r="K104" s="64">
        <f t="shared" si="83"/>
        <v>0</v>
      </c>
      <c r="L104" s="49">
        <f t="shared" si="86"/>
        <v>0</v>
      </c>
      <c r="M104" s="49">
        <f t="shared" si="87"/>
        <v>53125</v>
      </c>
      <c r="N104" s="49">
        <f t="shared" si="88"/>
        <v>53125</v>
      </c>
      <c r="O104" s="49">
        <f t="shared" si="89"/>
        <v>53125</v>
      </c>
      <c r="P104" s="49">
        <f t="shared" si="90"/>
        <v>53125</v>
      </c>
      <c r="Q104" s="49">
        <f t="shared" si="91"/>
        <v>53125</v>
      </c>
      <c r="R104" s="49">
        <f t="shared" si="92"/>
        <v>53125</v>
      </c>
      <c r="S104" s="49">
        <f t="shared" si="93"/>
        <v>53125</v>
      </c>
      <c r="T104" s="51">
        <f t="shared" si="94"/>
        <v>371875</v>
      </c>
      <c r="U104" s="49">
        <f t="shared" si="95"/>
        <v>53125</v>
      </c>
      <c r="V104" s="49">
        <f t="shared" si="96"/>
        <v>53125</v>
      </c>
      <c r="W104" s="49">
        <f t="shared" si="97"/>
        <v>53125</v>
      </c>
      <c r="X104" s="49">
        <f t="shared" si="98"/>
        <v>53125</v>
      </c>
      <c r="Y104" s="49">
        <f t="shared" si="99"/>
        <v>53125</v>
      </c>
      <c r="Z104" s="49">
        <f t="shared" si="100"/>
        <v>53125</v>
      </c>
      <c r="AA104" s="49">
        <f t="shared" si="101"/>
        <v>53125</v>
      </c>
      <c r="AB104" s="49">
        <f t="shared" si="102"/>
        <v>53125</v>
      </c>
      <c r="AC104" s="49">
        <f t="shared" si="103"/>
        <v>53125</v>
      </c>
      <c r="AD104" s="49">
        <f t="shared" si="104"/>
        <v>53125</v>
      </c>
      <c r="AE104" s="49">
        <f t="shared" si="105"/>
        <v>53125</v>
      </c>
      <c r="AF104" s="49">
        <f t="shared" si="106"/>
        <v>53125</v>
      </c>
      <c r="AG104" s="51">
        <f t="shared" si="107"/>
        <v>637500</v>
      </c>
      <c r="AH104" s="52">
        <f t="shared" si="108"/>
        <v>1009375</v>
      </c>
      <c r="AI104" s="52">
        <f t="shared" si="109"/>
        <v>403750</v>
      </c>
      <c r="AJ104" s="53"/>
    </row>
    <row r="105" spans="1:36" ht="15" customHeight="1">
      <c r="A105" s="43">
        <v>35</v>
      </c>
      <c r="B105" s="59" t="str">
        <f t="shared" si="84"/>
        <v>Saudi National Bank</v>
      </c>
      <c r="C105" s="59" t="str">
        <f t="shared" si="84"/>
        <v>Hano Oberholzer</v>
      </c>
      <c r="D105" s="60" t="str">
        <f t="shared" si="84"/>
        <v>Proposal Sent</v>
      </c>
      <c r="E105" s="61">
        <f t="shared" si="84"/>
        <v>0.6</v>
      </c>
      <c r="F105" s="60" t="str">
        <f t="shared" si="84"/>
        <v>Contract Logistics</v>
      </c>
      <c r="G105" s="62">
        <f t="shared" si="84"/>
        <v>46157</v>
      </c>
      <c r="H105" s="63">
        <v>0.75</v>
      </c>
      <c r="I105" s="49">
        <f t="shared" si="85"/>
        <v>1481539.5</v>
      </c>
      <c r="J105" s="64">
        <f t="shared" si="83"/>
        <v>0</v>
      </c>
      <c r="K105" s="64">
        <f t="shared" si="83"/>
        <v>0</v>
      </c>
      <c r="L105" s="49">
        <f t="shared" si="86"/>
        <v>123461.625</v>
      </c>
      <c r="M105" s="49">
        <f t="shared" si="87"/>
        <v>123461.625</v>
      </c>
      <c r="N105" s="49">
        <f t="shared" si="88"/>
        <v>123461.625</v>
      </c>
      <c r="O105" s="49">
        <f t="shared" si="89"/>
        <v>123461.625</v>
      </c>
      <c r="P105" s="49">
        <f t="shared" si="90"/>
        <v>123461.625</v>
      </c>
      <c r="Q105" s="49">
        <f t="shared" si="91"/>
        <v>123461.625</v>
      </c>
      <c r="R105" s="49">
        <f t="shared" si="92"/>
        <v>123461.625</v>
      </c>
      <c r="S105" s="49">
        <f t="shared" si="93"/>
        <v>123461.625</v>
      </c>
      <c r="T105" s="51">
        <f t="shared" si="94"/>
        <v>987693</v>
      </c>
      <c r="U105" s="49">
        <f t="shared" si="95"/>
        <v>123461.625</v>
      </c>
      <c r="V105" s="49">
        <f t="shared" si="96"/>
        <v>123461.625</v>
      </c>
      <c r="W105" s="49">
        <f t="shared" si="97"/>
        <v>123461.625</v>
      </c>
      <c r="X105" s="49">
        <f t="shared" si="98"/>
        <v>123461.625</v>
      </c>
      <c r="Y105" s="49">
        <f t="shared" si="99"/>
        <v>123461.625</v>
      </c>
      <c r="Z105" s="49">
        <f t="shared" si="100"/>
        <v>123461.625</v>
      </c>
      <c r="AA105" s="49">
        <f t="shared" si="101"/>
        <v>123461.625</v>
      </c>
      <c r="AB105" s="49">
        <f t="shared" si="102"/>
        <v>123461.625</v>
      </c>
      <c r="AC105" s="49">
        <f t="shared" si="103"/>
        <v>123461.625</v>
      </c>
      <c r="AD105" s="49">
        <f t="shared" si="104"/>
        <v>123461.625</v>
      </c>
      <c r="AE105" s="49">
        <f t="shared" si="105"/>
        <v>123461.625</v>
      </c>
      <c r="AF105" s="49">
        <f t="shared" si="106"/>
        <v>123461.625</v>
      </c>
      <c r="AG105" s="51">
        <f t="shared" si="107"/>
        <v>1481539.5</v>
      </c>
      <c r="AH105" s="52">
        <f t="shared" si="108"/>
        <v>2469232.5</v>
      </c>
      <c r="AI105" s="52">
        <f t="shared" si="109"/>
        <v>1481539.5</v>
      </c>
      <c r="AJ105" s="53"/>
    </row>
    <row r="106" spans="1:36" ht="15" customHeight="1">
      <c r="A106" s="43">
        <v>36</v>
      </c>
      <c r="B106" s="59" t="str">
        <f t="shared" si="84"/>
        <v>SAUDI CARBONATE COMPANY</v>
      </c>
      <c r="C106" s="59" t="str">
        <f t="shared" si="84"/>
        <v>Yazan  Darwish</v>
      </c>
      <c r="D106" s="60" t="str">
        <f t="shared" si="84"/>
        <v>Closed Won</v>
      </c>
      <c r="E106" s="61">
        <f t="shared" si="84"/>
        <v>1</v>
      </c>
      <c r="F106" s="60" t="str">
        <f t="shared" si="84"/>
        <v>Dammam Port</v>
      </c>
      <c r="G106" s="62">
        <f t="shared" si="84"/>
        <v>46143</v>
      </c>
      <c r="H106" s="63">
        <v>0.75</v>
      </c>
      <c r="I106" s="49">
        <f t="shared" si="85"/>
        <v>0</v>
      </c>
      <c r="J106" s="64">
        <f t="shared" si="83"/>
        <v>300</v>
      </c>
      <c r="K106" s="64">
        <f t="shared" si="83"/>
        <v>0</v>
      </c>
      <c r="L106" s="49">
        <f t="shared" si="86"/>
        <v>0</v>
      </c>
      <c r="M106" s="49">
        <f t="shared" si="87"/>
        <v>0</v>
      </c>
      <c r="N106" s="49">
        <f t="shared" si="88"/>
        <v>0</v>
      </c>
      <c r="O106" s="49">
        <f t="shared" si="89"/>
        <v>0</v>
      </c>
      <c r="P106" s="49">
        <f t="shared" si="90"/>
        <v>0</v>
      </c>
      <c r="Q106" s="49">
        <f t="shared" si="91"/>
        <v>0</v>
      </c>
      <c r="R106" s="49">
        <f t="shared" si="92"/>
        <v>0</v>
      </c>
      <c r="S106" s="49">
        <f t="shared" si="93"/>
        <v>0</v>
      </c>
      <c r="T106" s="51">
        <f t="shared" si="94"/>
        <v>0</v>
      </c>
      <c r="U106" s="49">
        <f t="shared" si="95"/>
        <v>0</v>
      </c>
      <c r="V106" s="49">
        <f t="shared" si="96"/>
        <v>0</v>
      </c>
      <c r="W106" s="49">
        <f t="shared" si="97"/>
        <v>0</v>
      </c>
      <c r="X106" s="49">
        <f t="shared" si="98"/>
        <v>0</v>
      </c>
      <c r="Y106" s="49">
        <f t="shared" si="99"/>
        <v>0</v>
      </c>
      <c r="Z106" s="49">
        <f t="shared" si="100"/>
        <v>0</v>
      </c>
      <c r="AA106" s="49">
        <f t="shared" si="101"/>
        <v>0</v>
      </c>
      <c r="AB106" s="49">
        <f t="shared" si="102"/>
        <v>0</v>
      </c>
      <c r="AC106" s="49">
        <f t="shared" si="103"/>
        <v>0</v>
      </c>
      <c r="AD106" s="49">
        <f t="shared" si="104"/>
        <v>0</v>
      </c>
      <c r="AE106" s="49">
        <f t="shared" si="105"/>
        <v>0</v>
      </c>
      <c r="AF106" s="49">
        <f t="shared" si="106"/>
        <v>0</v>
      </c>
      <c r="AG106" s="51">
        <f t="shared" si="107"/>
        <v>0</v>
      </c>
      <c r="AH106" s="52">
        <f t="shared" si="108"/>
        <v>0</v>
      </c>
      <c r="AI106" s="52">
        <f t="shared" si="109"/>
        <v>0</v>
      </c>
      <c r="AJ106" s="53"/>
    </row>
    <row r="107" spans="1:36" ht="15" customHeight="1">
      <c r="A107" s="43">
        <v>37</v>
      </c>
      <c r="B107" s="59" t="str">
        <f t="shared" si="84"/>
        <v>MEBCo (Clarios)</v>
      </c>
      <c r="C107" s="59" t="str">
        <f t="shared" si="84"/>
        <v>Yazan  Darwish</v>
      </c>
      <c r="D107" s="60" t="str">
        <f t="shared" si="84"/>
        <v>Closed Won</v>
      </c>
      <c r="E107" s="61">
        <f t="shared" si="84"/>
        <v>1</v>
      </c>
      <c r="F107" s="60" t="str">
        <f t="shared" si="84"/>
        <v>Dammam 2nd Ind -Tad WH</v>
      </c>
      <c r="G107" s="62">
        <f t="shared" si="84"/>
        <v>46082</v>
      </c>
      <c r="H107" s="63">
        <v>0.75</v>
      </c>
      <c r="I107" s="49">
        <f t="shared" si="85"/>
        <v>486000</v>
      </c>
      <c r="J107" s="64">
        <f t="shared" si="83"/>
        <v>900</v>
      </c>
      <c r="K107" s="64">
        <f t="shared" si="83"/>
        <v>0</v>
      </c>
      <c r="L107" s="49">
        <f t="shared" si="86"/>
        <v>40500</v>
      </c>
      <c r="M107" s="49">
        <f t="shared" si="87"/>
        <v>40500</v>
      </c>
      <c r="N107" s="49">
        <f t="shared" si="88"/>
        <v>40500</v>
      </c>
      <c r="O107" s="49">
        <f t="shared" si="89"/>
        <v>40500</v>
      </c>
      <c r="P107" s="49">
        <f t="shared" si="90"/>
        <v>40500</v>
      </c>
      <c r="Q107" s="49">
        <f t="shared" si="91"/>
        <v>40500</v>
      </c>
      <c r="R107" s="49">
        <f t="shared" si="92"/>
        <v>40500</v>
      </c>
      <c r="S107" s="49">
        <f t="shared" si="93"/>
        <v>40500</v>
      </c>
      <c r="T107" s="51">
        <f t="shared" si="94"/>
        <v>324000</v>
      </c>
      <c r="U107" s="49">
        <f t="shared" si="95"/>
        <v>40500</v>
      </c>
      <c r="V107" s="49">
        <f t="shared" si="96"/>
        <v>40500</v>
      </c>
      <c r="W107" s="49">
        <f t="shared" si="97"/>
        <v>40500</v>
      </c>
      <c r="X107" s="49">
        <f t="shared" si="98"/>
        <v>40500</v>
      </c>
      <c r="Y107" s="49">
        <f t="shared" si="99"/>
        <v>40500</v>
      </c>
      <c r="Z107" s="49">
        <f t="shared" si="100"/>
        <v>40500</v>
      </c>
      <c r="AA107" s="49">
        <f t="shared" si="101"/>
        <v>40500</v>
      </c>
      <c r="AB107" s="49">
        <f t="shared" si="102"/>
        <v>40500</v>
      </c>
      <c r="AC107" s="49">
        <f t="shared" si="103"/>
        <v>40500</v>
      </c>
      <c r="AD107" s="49">
        <f t="shared" si="104"/>
        <v>40500</v>
      </c>
      <c r="AE107" s="49">
        <f t="shared" si="105"/>
        <v>40500</v>
      </c>
      <c r="AF107" s="49">
        <f t="shared" si="106"/>
        <v>40500</v>
      </c>
      <c r="AG107" s="51">
        <f t="shared" si="107"/>
        <v>486000</v>
      </c>
      <c r="AH107" s="52">
        <f t="shared" si="108"/>
        <v>810000</v>
      </c>
      <c r="AI107" s="52">
        <f t="shared" si="109"/>
        <v>810000</v>
      </c>
      <c r="AJ107" s="53"/>
    </row>
    <row r="108" spans="1:36" ht="15" customHeight="1">
      <c r="A108" s="43">
        <v>38</v>
      </c>
      <c r="B108" s="59" t="str">
        <f t="shared" si="84"/>
        <v>Rawabi Electric</v>
      </c>
      <c r="C108" s="59" t="str">
        <f t="shared" si="84"/>
        <v>Yazan  Darwish</v>
      </c>
      <c r="D108" s="60" t="str">
        <f t="shared" si="84"/>
        <v>Closed Won</v>
      </c>
      <c r="E108" s="61">
        <f t="shared" si="84"/>
        <v>1</v>
      </c>
      <c r="F108" s="60" t="str">
        <f t="shared" si="84"/>
        <v>Dammam 2nd Ind -Tad WH</v>
      </c>
      <c r="G108" s="62">
        <f t="shared" si="84"/>
        <v>46049</v>
      </c>
      <c r="H108" s="63">
        <v>0.75</v>
      </c>
      <c r="I108" s="49">
        <f t="shared" si="85"/>
        <v>79200</v>
      </c>
      <c r="J108" s="64">
        <f t="shared" si="83"/>
        <v>440</v>
      </c>
      <c r="K108" s="64">
        <f t="shared" si="83"/>
        <v>0</v>
      </c>
      <c r="L108" s="49">
        <f t="shared" si="86"/>
        <v>6600</v>
      </c>
      <c r="M108" s="49">
        <f t="shared" si="87"/>
        <v>6600</v>
      </c>
      <c r="N108" s="49">
        <f t="shared" si="88"/>
        <v>6600</v>
      </c>
      <c r="O108" s="49">
        <f t="shared" si="89"/>
        <v>6600</v>
      </c>
      <c r="P108" s="49">
        <f t="shared" si="90"/>
        <v>6600</v>
      </c>
      <c r="Q108" s="49">
        <f t="shared" si="91"/>
        <v>6600</v>
      </c>
      <c r="R108" s="49">
        <f t="shared" si="92"/>
        <v>6600</v>
      </c>
      <c r="S108" s="49">
        <f t="shared" si="93"/>
        <v>6600</v>
      </c>
      <c r="T108" s="51">
        <f t="shared" si="94"/>
        <v>52800</v>
      </c>
      <c r="U108" s="49">
        <f t="shared" si="95"/>
        <v>6600</v>
      </c>
      <c r="V108" s="49">
        <f t="shared" si="96"/>
        <v>6600</v>
      </c>
      <c r="W108" s="49">
        <f t="shared" si="97"/>
        <v>6600</v>
      </c>
      <c r="X108" s="49">
        <f t="shared" si="98"/>
        <v>6600</v>
      </c>
      <c r="Y108" s="49">
        <f t="shared" si="99"/>
        <v>6600</v>
      </c>
      <c r="Z108" s="49">
        <f t="shared" si="100"/>
        <v>6600</v>
      </c>
      <c r="AA108" s="49">
        <f t="shared" si="101"/>
        <v>6600</v>
      </c>
      <c r="AB108" s="49">
        <f t="shared" si="102"/>
        <v>6600</v>
      </c>
      <c r="AC108" s="49">
        <f t="shared" si="103"/>
        <v>6600</v>
      </c>
      <c r="AD108" s="49">
        <f t="shared" si="104"/>
        <v>6600</v>
      </c>
      <c r="AE108" s="49">
        <f t="shared" si="105"/>
        <v>6600</v>
      </c>
      <c r="AF108" s="49">
        <f t="shared" si="106"/>
        <v>6600</v>
      </c>
      <c r="AG108" s="51">
        <f t="shared" si="107"/>
        <v>79200</v>
      </c>
      <c r="AH108" s="52">
        <f t="shared" si="108"/>
        <v>132000</v>
      </c>
      <c r="AI108" s="52">
        <f t="shared" si="109"/>
        <v>132000</v>
      </c>
      <c r="AJ108" s="53"/>
    </row>
    <row r="109" spans="1:36" ht="21.75" customHeight="1">
      <c r="A109" s="43">
        <v>39</v>
      </c>
      <c r="B109" s="59" t="str">
        <f t="shared" si="84"/>
        <v>Dorfketal</v>
      </c>
      <c r="C109" s="59" t="str">
        <f t="shared" si="84"/>
        <v>Yazan  Darwish</v>
      </c>
      <c r="D109" s="60" t="str">
        <f t="shared" si="84"/>
        <v>Closed Won</v>
      </c>
      <c r="E109" s="61">
        <f t="shared" si="84"/>
        <v>1</v>
      </c>
      <c r="F109" s="60" t="str">
        <f t="shared" si="84"/>
        <v>Dammam 2nd Ind -Tad WH</v>
      </c>
      <c r="G109" s="62">
        <f t="shared" si="84"/>
        <v>46143</v>
      </c>
      <c r="H109" s="63">
        <v>0.75</v>
      </c>
      <c r="I109" s="49">
        <f t="shared" si="85"/>
        <v>58500</v>
      </c>
      <c r="J109" s="64">
        <f t="shared" si="83"/>
        <v>200</v>
      </c>
      <c r="K109" s="64">
        <f t="shared" si="83"/>
        <v>0</v>
      </c>
      <c r="L109" s="49">
        <f t="shared" si="86"/>
        <v>4875</v>
      </c>
      <c r="M109" s="49">
        <f t="shared" si="87"/>
        <v>4875</v>
      </c>
      <c r="N109" s="49">
        <f t="shared" si="88"/>
        <v>4875</v>
      </c>
      <c r="O109" s="49">
        <f t="shared" si="89"/>
        <v>4875</v>
      </c>
      <c r="P109" s="49">
        <f t="shared" si="90"/>
        <v>4875</v>
      </c>
      <c r="Q109" s="49">
        <f t="shared" si="91"/>
        <v>4875</v>
      </c>
      <c r="R109" s="49">
        <f t="shared" si="92"/>
        <v>4875</v>
      </c>
      <c r="S109" s="49">
        <f t="shared" si="93"/>
        <v>4875</v>
      </c>
      <c r="T109" s="51">
        <f t="shared" si="94"/>
        <v>39000</v>
      </c>
      <c r="U109" s="49">
        <f t="shared" si="95"/>
        <v>4875</v>
      </c>
      <c r="V109" s="49">
        <f t="shared" si="96"/>
        <v>4875</v>
      </c>
      <c r="W109" s="49">
        <f t="shared" si="97"/>
        <v>4875</v>
      </c>
      <c r="X109" s="49">
        <f t="shared" si="98"/>
        <v>4875</v>
      </c>
      <c r="Y109" s="49">
        <f t="shared" si="99"/>
        <v>4875</v>
      </c>
      <c r="Z109" s="49">
        <f t="shared" si="100"/>
        <v>4875</v>
      </c>
      <c r="AA109" s="49">
        <f t="shared" si="101"/>
        <v>4875</v>
      </c>
      <c r="AB109" s="49">
        <f t="shared" si="102"/>
        <v>4875</v>
      </c>
      <c r="AC109" s="49">
        <f t="shared" si="103"/>
        <v>4875</v>
      </c>
      <c r="AD109" s="49">
        <f t="shared" si="104"/>
        <v>4875</v>
      </c>
      <c r="AE109" s="49">
        <f t="shared" si="105"/>
        <v>4875</v>
      </c>
      <c r="AF109" s="49">
        <f t="shared" si="106"/>
        <v>4875</v>
      </c>
      <c r="AG109" s="51">
        <f t="shared" si="107"/>
        <v>58500</v>
      </c>
      <c r="AH109" s="52">
        <f t="shared" si="108"/>
        <v>97500</v>
      </c>
      <c r="AI109" s="52">
        <f t="shared" si="109"/>
        <v>97500</v>
      </c>
      <c r="AJ109" s="53"/>
    </row>
    <row r="110" spans="1:36" ht="19.5" customHeight="1">
      <c r="A110" s="43">
        <v>40</v>
      </c>
      <c r="B110" s="59" t="str">
        <f t="shared" si="84"/>
        <v>Rising Future</v>
      </c>
      <c r="C110" s="59" t="str">
        <f t="shared" si="84"/>
        <v>Yazan  Darwish</v>
      </c>
      <c r="D110" s="60" t="str">
        <f t="shared" si="84"/>
        <v>Closed Won</v>
      </c>
      <c r="E110" s="61">
        <f t="shared" si="84"/>
        <v>1</v>
      </c>
      <c r="F110" s="60" t="str">
        <f t="shared" si="84"/>
        <v>Dammam 2nd Ind -Tad WH</v>
      </c>
      <c r="G110" s="62">
        <f t="shared" si="84"/>
        <v>46082</v>
      </c>
      <c r="H110" s="63">
        <v>0.75</v>
      </c>
      <c r="I110" s="49">
        <f t="shared" si="85"/>
        <v>22500</v>
      </c>
      <c r="J110" s="64">
        <f t="shared" si="83"/>
        <v>50</v>
      </c>
      <c r="K110" s="64">
        <f t="shared" si="83"/>
        <v>0</v>
      </c>
      <c r="L110" s="49">
        <f t="shared" si="86"/>
        <v>1875</v>
      </c>
      <c r="M110" s="49">
        <f t="shared" si="87"/>
        <v>1875</v>
      </c>
      <c r="N110" s="49">
        <f t="shared" si="88"/>
        <v>1875</v>
      </c>
      <c r="O110" s="49">
        <f t="shared" si="89"/>
        <v>1875</v>
      </c>
      <c r="P110" s="49">
        <f t="shared" si="90"/>
        <v>1875</v>
      </c>
      <c r="Q110" s="49">
        <f t="shared" si="91"/>
        <v>1875</v>
      </c>
      <c r="R110" s="49">
        <f t="shared" si="92"/>
        <v>1875</v>
      </c>
      <c r="S110" s="49">
        <f t="shared" si="93"/>
        <v>1875</v>
      </c>
      <c r="T110" s="51">
        <f t="shared" si="94"/>
        <v>15000</v>
      </c>
      <c r="U110" s="49">
        <f t="shared" si="95"/>
        <v>1875</v>
      </c>
      <c r="V110" s="49">
        <f t="shared" si="96"/>
        <v>1875</v>
      </c>
      <c r="W110" s="49">
        <f t="shared" si="97"/>
        <v>1875</v>
      </c>
      <c r="X110" s="49">
        <f t="shared" si="98"/>
        <v>1875</v>
      </c>
      <c r="Y110" s="49">
        <f t="shared" si="99"/>
        <v>1875</v>
      </c>
      <c r="Z110" s="49">
        <f t="shared" si="100"/>
        <v>1875</v>
      </c>
      <c r="AA110" s="49">
        <f t="shared" si="101"/>
        <v>1875</v>
      </c>
      <c r="AB110" s="49">
        <f t="shared" si="102"/>
        <v>1875</v>
      </c>
      <c r="AC110" s="49">
        <f t="shared" si="103"/>
        <v>1875</v>
      </c>
      <c r="AD110" s="49">
        <f t="shared" si="104"/>
        <v>1875</v>
      </c>
      <c r="AE110" s="49">
        <f t="shared" si="105"/>
        <v>1875</v>
      </c>
      <c r="AF110" s="49">
        <f t="shared" si="106"/>
        <v>1875</v>
      </c>
      <c r="AG110" s="51">
        <f t="shared" si="107"/>
        <v>22500</v>
      </c>
      <c r="AH110" s="52">
        <f t="shared" si="108"/>
        <v>37500</v>
      </c>
      <c r="AI110" s="52">
        <f t="shared" si="109"/>
        <v>37500</v>
      </c>
      <c r="AJ110" s="53"/>
    </row>
    <row r="111" spans="1:36" ht="19.5" customHeight="1">
      <c r="A111" s="43">
        <v>41</v>
      </c>
      <c r="B111" s="59" t="str">
        <f t="shared" ref="B111:G120" si="110">IF(B46="","",B46)</f>
        <v>Maaden</v>
      </c>
      <c r="C111" s="59" t="str">
        <f t="shared" si="110"/>
        <v>Yazan  Darwish</v>
      </c>
      <c r="D111" s="60" t="str">
        <f t="shared" si="110"/>
        <v>Closed Won</v>
      </c>
      <c r="E111" s="61">
        <f t="shared" si="110"/>
        <v>1</v>
      </c>
      <c r="F111" s="60" t="str">
        <f t="shared" si="110"/>
        <v>Jubail 1</v>
      </c>
      <c r="G111" s="62">
        <f t="shared" si="110"/>
        <v>46054</v>
      </c>
      <c r="H111" s="63">
        <v>0.75</v>
      </c>
      <c r="I111" s="49">
        <f t="shared" si="85"/>
        <v>720000</v>
      </c>
      <c r="J111" s="64">
        <f t="shared" ref="J111:K130" si="111">IF(J46="","",J46)</f>
        <v>1200</v>
      </c>
      <c r="K111" s="64">
        <f t="shared" si="111"/>
        <v>0</v>
      </c>
      <c r="L111" s="49">
        <f t="shared" si="86"/>
        <v>60000</v>
      </c>
      <c r="M111" s="49">
        <f t="shared" si="87"/>
        <v>60000</v>
      </c>
      <c r="N111" s="49">
        <f t="shared" si="88"/>
        <v>60000</v>
      </c>
      <c r="O111" s="49">
        <f t="shared" si="89"/>
        <v>60000</v>
      </c>
      <c r="P111" s="49">
        <f t="shared" si="90"/>
        <v>60000</v>
      </c>
      <c r="Q111" s="49">
        <f t="shared" si="91"/>
        <v>60000</v>
      </c>
      <c r="R111" s="49">
        <f t="shared" si="92"/>
        <v>60000</v>
      </c>
      <c r="S111" s="49">
        <f t="shared" si="93"/>
        <v>60000</v>
      </c>
      <c r="T111" s="51">
        <f t="shared" si="94"/>
        <v>480000</v>
      </c>
      <c r="U111" s="49">
        <f t="shared" si="95"/>
        <v>60000</v>
      </c>
      <c r="V111" s="49">
        <f t="shared" si="96"/>
        <v>60000</v>
      </c>
      <c r="W111" s="49">
        <f t="shared" si="97"/>
        <v>60000</v>
      </c>
      <c r="X111" s="49">
        <f t="shared" si="98"/>
        <v>60000</v>
      </c>
      <c r="Y111" s="49">
        <f t="shared" si="99"/>
        <v>60000</v>
      </c>
      <c r="Z111" s="49">
        <f t="shared" si="100"/>
        <v>60000</v>
      </c>
      <c r="AA111" s="49">
        <f t="shared" si="101"/>
        <v>60000</v>
      </c>
      <c r="AB111" s="49">
        <f t="shared" si="102"/>
        <v>60000</v>
      </c>
      <c r="AC111" s="49">
        <f t="shared" si="103"/>
        <v>60000</v>
      </c>
      <c r="AD111" s="49">
        <f t="shared" si="104"/>
        <v>60000</v>
      </c>
      <c r="AE111" s="49">
        <f t="shared" si="105"/>
        <v>60000</v>
      </c>
      <c r="AF111" s="49">
        <f t="shared" si="106"/>
        <v>60000</v>
      </c>
      <c r="AG111" s="51">
        <f t="shared" si="107"/>
        <v>720000</v>
      </c>
      <c r="AH111" s="52">
        <f t="shared" si="108"/>
        <v>1200000</v>
      </c>
      <c r="AI111" s="52">
        <f t="shared" si="109"/>
        <v>1200000</v>
      </c>
      <c r="AJ111" s="53"/>
    </row>
    <row r="112" spans="1:36" ht="15" customHeight="1">
      <c r="A112" s="43">
        <v>42</v>
      </c>
      <c r="B112" s="59" t="str">
        <f t="shared" si="110"/>
        <v>Al Nahdi</v>
      </c>
      <c r="C112" s="59" t="str">
        <f t="shared" si="110"/>
        <v>Simon Reah</v>
      </c>
      <c r="D112" s="60" t="str">
        <f t="shared" si="110"/>
        <v>Closed Won</v>
      </c>
      <c r="E112" s="61">
        <f t="shared" si="110"/>
        <v>1</v>
      </c>
      <c r="F112" s="60" t="str">
        <f t="shared" si="110"/>
        <v>Jeddah Modon 3B</v>
      </c>
      <c r="G112" s="62">
        <f t="shared" si="110"/>
        <v>46113</v>
      </c>
      <c r="H112" s="63">
        <v>0.75</v>
      </c>
      <c r="I112" s="49">
        <f t="shared" si="85"/>
        <v>567000</v>
      </c>
      <c r="J112" s="64">
        <f t="shared" si="111"/>
        <v>4000</v>
      </c>
      <c r="K112" s="64">
        <f t="shared" si="111"/>
        <v>0</v>
      </c>
      <c r="L112" s="49">
        <f t="shared" si="86"/>
        <v>47250</v>
      </c>
      <c r="M112" s="49">
        <f t="shared" si="87"/>
        <v>47250</v>
      </c>
      <c r="N112" s="49">
        <f t="shared" si="88"/>
        <v>47250</v>
      </c>
      <c r="O112" s="49">
        <f t="shared" si="89"/>
        <v>47250</v>
      </c>
      <c r="P112" s="49">
        <f t="shared" si="90"/>
        <v>47250</v>
      </c>
      <c r="Q112" s="49">
        <f t="shared" si="91"/>
        <v>47250</v>
      </c>
      <c r="R112" s="49">
        <f t="shared" si="92"/>
        <v>47250</v>
      </c>
      <c r="S112" s="49">
        <f t="shared" si="93"/>
        <v>47250</v>
      </c>
      <c r="T112" s="51">
        <f t="shared" si="94"/>
        <v>378000</v>
      </c>
      <c r="U112" s="49">
        <f t="shared" si="95"/>
        <v>47250</v>
      </c>
      <c r="V112" s="49">
        <f t="shared" si="96"/>
        <v>47250</v>
      </c>
      <c r="W112" s="49">
        <f t="shared" si="97"/>
        <v>47250</v>
      </c>
      <c r="X112" s="49">
        <f t="shared" si="98"/>
        <v>47250</v>
      </c>
      <c r="Y112" s="49">
        <f t="shared" si="99"/>
        <v>47250</v>
      </c>
      <c r="Z112" s="49">
        <f t="shared" si="100"/>
        <v>47250</v>
      </c>
      <c r="AA112" s="49">
        <f t="shared" si="101"/>
        <v>47250</v>
      </c>
      <c r="AB112" s="49">
        <f t="shared" si="102"/>
        <v>47250</v>
      </c>
      <c r="AC112" s="49">
        <f t="shared" si="103"/>
        <v>47250</v>
      </c>
      <c r="AD112" s="49">
        <f t="shared" si="104"/>
        <v>47250</v>
      </c>
      <c r="AE112" s="49">
        <f t="shared" si="105"/>
        <v>47250</v>
      </c>
      <c r="AF112" s="49">
        <f t="shared" si="106"/>
        <v>47250</v>
      </c>
      <c r="AG112" s="51">
        <f t="shared" si="107"/>
        <v>567000</v>
      </c>
      <c r="AH112" s="52">
        <f t="shared" si="108"/>
        <v>945000</v>
      </c>
      <c r="AI112" s="52">
        <f t="shared" si="109"/>
        <v>945000</v>
      </c>
      <c r="AJ112" s="53"/>
    </row>
    <row r="113" spans="1:36" ht="15" customHeight="1">
      <c r="A113" s="43">
        <v>43</v>
      </c>
      <c r="B113" s="59" t="str">
        <f t="shared" si="110"/>
        <v>Sharbatly Fruit Company</v>
      </c>
      <c r="C113" s="59" t="str">
        <f t="shared" si="110"/>
        <v>Simon Reah</v>
      </c>
      <c r="D113" s="60" t="str">
        <f t="shared" si="110"/>
        <v>Closed Won</v>
      </c>
      <c r="E113" s="61">
        <f t="shared" si="110"/>
        <v>1</v>
      </c>
      <c r="F113" s="60" t="str">
        <f t="shared" si="110"/>
        <v>Jeddah Modon 3B</v>
      </c>
      <c r="G113" s="62">
        <f t="shared" si="110"/>
        <v>46127</v>
      </c>
      <c r="H113" s="63">
        <v>0.75</v>
      </c>
      <c r="I113" s="49">
        <f t="shared" si="85"/>
        <v>513000</v>
      </c>
      <c r="J113" s="64">
        <f t="shared" si="111"/>
        <v>1500</v>
      </c>
      <c r="K113" s="64">
        <f t="shared" si="111"/>
        <v>0</v>
      </c>
      <c r="L113" s="49">
        <f t="shared" si="86"/>
        <v>42750</v>
      </c>
      <c r="M113" s="49">
        <f t="shared" si="87"/>
        <v>42750</v>
      </c>
      <c r="N113" s="49">
        <f t="shared" si="88"/>
        <v>42750</v>
      </c>
      <c r="O113" s="49">
        <f t="shared" si="89"/>
        <v>42750</v>
      </c>
      <c r="P113" s="49">
        <f t="shared" si="90"/>
        <v>42750</v>
      </c>
      <c r="Q113" s="49">
        <f t="shared" si="91"/>
        <v>42750</v>
      </c>
      <c r="R113" s="49">
        <f t="shared" si="92"/>
        <v>42750</v>
      </c>
      <c r="S113" s="49">
        <f t="shared" si="93"/>
        <v>42750</v>
      </c>
      <c r="T113" s="51">
        <f t="shared" si="94"/>
        <v>342000</v>
      </c>
      <c r="U113" s="49">
        <f t="shared" si="95"/>
        <v>42750</v>
      </c>
      <c r="V113" s="49">
        <f t="shared" si="96"/>
        <v>42750</v>
      </c>
      <c r="W113" s="49">
        <f t="shared" si="97"/>
        <v>42750</v>
      </c>
      <c r="X113" s="49">
        <f t="shared" si="98"/>
        <v>42750</v>
      </c>
      <c r="Y113" s="49">
        <f t="shared" si="99"/>
        <v>42750</v>
      </c>
      <c r="Z113" s="49">
        <f t="shared" si="100"/>
        <v>42750</v>
      </c>
      <c r="AA113" s="49">
        <f t="shared" si="101"/>
        <v>42750</v>
      </c>
      <c r="AB113" s="49">
        <f t="shared" si="102"/>
        <v>42750</v>
      </c>
      <c r="AC113" s="49">
        <f t="shared" si="103"/>
        <v>42750</v>
      </c>
      <c r="AD113" s="49">
        <f t="shared" si="104"/>
        <v>42750</v>
      </c>
      <c r="AE113" s="49">
        <f t="shared" si="105"/>
        <v>42750</v>
      </c>
      <c r="AF113" s="49">
        <f t="shared" si="106"/>
        <v>42750</v>
      </c>
      <c r="AG113" s="51">
        <f t="shared" si="107"/>
        <v>513000</v>
      </c>
      <c r="AH113" s="52">
        <f t="shared" si="108"/>
        <v>855000</v>
      </c>
      <c r="AI113" s="52">
        <f t="shared" si="109"/>
        <v>855000</v>
      </c>
      <c r="AJ113" s="53"/>
    </row>
    <row r="114" spans="1:36" ht="15" customHeight="1">
      <c r="A114" s="43">
        <v>44</v>
      </c>
      <c r="B114" s="59" t="str">
        <f t="shared" si="110"/>
        <v>PSA-BDP</v>
      </c>
      <c r="C114" s="59" t="str">
        <f t="shared" si="110"/>
        <v>Amin AlHalabi</v>
      </c>
      <c r="D114" s="60" t="str">
        <f t="shared" si="110"/>
        <v>Closed Won</v>
      </c>
      <c r="E114" s="61">
        <f t="shared" si="110"/>
        <v>1</v>
      </c>
      <c r="F114" s="60" t="str">
        <f t="shared" si="110"/>
        <v>Subcontractor</v>
      </c>
      <c r="G114" s="62">
        <f t="shared" si="110"/>
        <v>46067</v>
      </c>
      <c r="H114" s="63">
        <v>0.75</v>
      </c>
      <c r="I114" s="49">
        <f t="shared" si="85"/>
        <v>1350000</v>
      </c>
      <c r="J114" s="64">
        <f t="shared" si="111"/>
        <v>2500</v>
      </c>
      <c r="K114" s="64">
        <f t="shared" si="111"/>
        <v>0</v>
      </c>
      <c r="L114" s="49">
        <f t="shared" si="86"/>
        <v>112500</v>
      </c>
      <c r="M114" s="49">
        <f t="shared" si="87"/>
        <v>112500</v>
      </c>
      <c r="N114" s="49">
        <f t="shared" si="88"/>
        <v>112500</v>
      </c>
      <c r="O114" s="49">
        <f t="shared" si="89"/>
        <v>112500</v>
      </c>
      <c r="P114" s="49">
        <f t="shared" si="90"/>
        <v>112500</v>
      </c>
      <c r="Q114" s="49">
        <f t="shared" si="91"/>
        <v>112500</v>
      </c>
      <c r="R114" s="49">
        <f t="shared" si="92"/>
        <v>112500</v>
      </c>
      <c r="S114" s="49">
        <f t="shared" si="93"/>
        <v>112500</v>
      </c>
      <c r="T114" s="51">
        <f t="shared" si="94"/>
        <v>900000</v>
      </c>
      <c r="U114" s="49">
        <f t="shared" si="95"/>
        <v>112500</v>
      </c>
      <c r="V114" s="49">
        <f t="shared" si="96"/>
        <v>112500</v>
      </c>
      <c r="W114" s="49">
        <f t="shared" si="97"/>
        <v>112500</v>
      </c>
      <c r="X114" s="49">
        <f t="shared" si="98"/>
        <v>112500</v>
      </c>
      <c r="Y114" s="49">
        <f t="shared" si="99"/>
        <v>112500</v>
      </c>
      <c r="Z114" s="49">
        <f t="shared" si="100"/>
        <v>112500</v>
      </c>
      <c r="AA114" s="49">
        <f t="shared" si="101"/>
        <v>112500</v>
      </c>
      <c r="AB114" s="49">
        <f t="shared" si="102"/>
        <v>112500</v>
      </c>
      <c r="AC114" s="49">
        <f t="shared" si="103"/>
        <v>112500</v>
      </c>
      <c r="AD114" s="49">
        <f t="shared" si="104"/>
        <v>112500</v>
      </c>
      <c r="AE114" s="49">
        <f t="shared" si="105"/>
        <v>112500</v>
      </c>
      <c r="AF114" s="49">
        <f t="shared" si="106"/>
        <v>112500</v>
      </c>
      <c r="AG114" s="51">
        <f t="shared" si="107"/>
        <v>1350000</v>
      </c>
      <c r="AH114" s="52">
        <f t="shared" si="108"/>
        <v>2250000</v>
      </c>
      <c r="AI114" s="52">
        <f t="shared" si="109"/>
        <v>2250000</v>
      </c>
      <c r="AJ114" s="53"/>
    </row>
    <row r="115" spans="1:36" ht="15" customHeight="1">
      <c r="A115" s="43">
        <v>45</v>
      </c>
      <c r="B115" s="59" t="str">
        <f t="shared" si="110"/>
        <v>Tasnee</v>
      </c>
      <c r="C115" s="59" t="str">
        <f t="shared" si="110"/>
        <v>Yazan  Darwish</v>
      </c>
      <c r="D115" s="60" t="str">
        <f t="shared" si="110"/>
        <v>Closed Won</v>
      </c>
      <c r="E115" s="61">
        <f t="shared" si="110"/>
        <v>1</v>
      </c>
      <c r="F115" s="60" t="str">
        <f t="shared" si="110"/>
        <v>Contract Logistics</v>
      </c>
      <c r="G115" s="62">
        <f t="shared" si="110"/>
        <v>46143</v>
      </c>
      <c r="H115" s="63">
        <v>0.75</v>
      </c>
      <c r="I115" s="49">
        <f t="shared" si="85"/>
        <v>543750</v>
      </c>
      <c r="J115" s="64">
        <f t="shared" si="111"/>
        <v>0</v>
      </c>
      <c r="K115" s="64">
        <f t="shared" si="111"/>
        <v>0</v>
      </c>
      <c r="L115" s="49">
        <f t="shared" si="86"/>
        <v>45312.5</v>
      </c>
      <c r="M115" s="49">
        <f t="shared" si="87"/>
        <v>45312.5</v>
      </c>
      <c r="N115" s="49">
        <f t="shared" si="88"/>
        <v>45312.5</v>
      </c>
      <c r="O115" s="49">
        <f t="shared" si="89"/>
        <v>45312.5</v>
      </c>
      <c r="P115" s="49">
        <f t="shared" si="90"/>
        <v>45312.5</v>
      </c>
      <c r="Q115" s="49">
        <f t="shared" si="91"/>
        <v>45312.5</v>
      </c>
      <c r="R115" s="49">
        <f t="shared" si="92"/>
        <v>45312.5</v>
      </c>
      <c r="S115" s="49">
        <f t="shared" si="93"/>
        <v>45312.5</v>
      </c>
      <c r="T115" s="51">
        <f t="shared" si="94"/>
        <v>362500</v>
      </c>
      <c r="U115" s="49">
        <f t="shared" si="95"/>
        <v>45312.5</v>
      </c>
      <c r="V115" s="49">
        <f t="shared" si="96"/>
        <v>45312.5</v>
      </c>
      <c r="W115" s="49">
        <f t="shared" si="97"/>
        <v>45312.5</v>
      </c>
      <c r="X115" s="49">
        <f t="shared" si="98"/>
        <v>45312.5</v>
      </c>
      <c r="Y115" s="49">
        <f t="shared" si="99"/>
        <v>45312.5</v>
      </c>
      <c r="Z115" s="49">
        <f t="shared" si="100"/>
        <v>45312.5</v>
      </c>
      <c r="AA115" s="49">
        <f t="shared" si="101"/>
        <v>45312.5</v>
      </c>
      <c r="AB115" s="49">
        <f t="shared" si="102"/>
        <v>45312.5</v>
      </c>
      <c r="AC115" s="49">
        <f t="shared" si="103"/>
        <v>45312.5</v>
      </c>
      <c r="AD115" s="49">
        <f t="shared" si="104"/>
        <v>45312.5</v>
      </c>
      <c r="AE115" s="49">
        <f t="shared" si="105"/>
        <v>45312.5</v>
      </c>
      <c r="AF115" s="49">
        <f t="shared" si="106"/>
        <v>45312.5</v>
      </c>
      <c r="AG115" s="51">
        <f t="shared" si="107"/>
        <v>543750</v>
      </c>
      <c r="AH115" s="52">
        <f t="shared" si="108"/>
        <v>906250</v>
      </c>
      <c r="AI115" s="52">
        <f t="shared" si="109"/>
        <v>906250</v>
      </c>
      <c r="AJ115" s="53"/>
    </row>
    <row r="116" spans="1:36" ht="15" customHeight="1">
      <c r="A116" s="43">
        <v>46</v>
      </c>
      <c r="B116" s="59" t="str">
        <f t="shared" si="110"/>
        <v/>
      </c>
      <c r="C116" s="59" t="str">
        <f t="shared" si="110"/>
        <v/>
      </c>
      <c r="D116" s="60" t="str">
        <f t="shared" si="110"/>
        <v/>
      </c>
      <c r="E116" s="61">
        <f t="shared" si="110"/>
        <v>0</v>
      </c>
      <c r="F116" s="60" t="str">
        <f t="shared" si="110"/>
        <v/>
      </c>
      <c r="G116" s="62" t="str">
        <f t="shared" si="110"/>
        <v/>
      </c>
      <c r="H116" s="63">
        <v>0.75</v>
      </c>
      <c r="I116" s="49">
        <f t="shared" si="85"/>
        <v>0</v>
      </c>
      <c r="J116" s="64">
        <f t="shared" si="111"/>
        <v>0</v>
      </c>
      <c r="K116" s="64">
        <f t="shared" si="111"/>
        <v>0</v>
      </c>
      <c r="L116" s="49">
        <f t="shared" si="86"/>
        <v>0</v>
      </c>
      <c r="M116" s="49">
        <f t="shared" si="87"/>
        <v>0</v>
      </c>
      <c r="N116" s="49">
        <f t="shared" si="88"/>
        <v>0</v>
      </c>
      <c r="O116" s="49">
        <f t="shared" si="89"/>
        <v>0</v>
      </c>
      <c r="P116" s="49">
        <f t="shared" si="90"/>
        <v>0</v>
      </c>
      <c r="Q116" s="49">
        <f t="shared" si="91"/>
        <v>0</v>
      </c>
      <c r="R116" s="49">
        <f t="shared" si="92"/>
        <v>0</v>
      </c>
      <c r="S116" s="49">
        <f t="shared" si="93"/>
        <v>0</v>
      </c>
      <c r="T116" s="51">
        <f t="shared" si="94"/>
        <v>0</v>
      </c>
      <c r="U116" s="49">
        <f t="shared" si="95"/>
        <v>0</v>
      </c>
      <c r="V116" s="49">
        <f t="shared" si="96"/>
        <v>0</v>
      </c>
      <c r="W116" s="49">
        <f t="shared" si="97"/>
        <v>0</v>
      </c>
      <c r="X116" s="49">
        <f t="shared" si="98"/>
        <v>0</v>
      </c>
      <c r="Y116" s="49">
        <f t="shared" si="99"/>
        <v>0</v>
      </c>
      <c r="Z116" s="49">
        <f t="shared" si="100"/>
        <v>0</v>
      </c>
      <c r="AA116" s="49">
        <f t="shared" si="101"/>
        <v>0</v>
      </c>
      <c r="AB116" s="49">
        <f t="shared" si="102"/>
        <v>0</v>
      </c>
      <c r="AC116" s="49">
        <f t="shared" si="103"/>
        <v>0</v>
      </c>
      <c r="AD116" s="49">
        <f t="shared" si="104"/>
        <v>0</v>
      </c>
      <c r="AE116" s="49">
        <f t="shared" si="105"/>
        <v>0</v>
      </c>
      <c r="AF116" s="49">
        <f t="shared" si="106"/>
        <v>0</v>
      </c>
      <c r="AG116" s="51">
        <f t="shared" si="107"/>
        <v>0</v>
      </c>
      <c r="AH116" s="52">
        <f t="shared" si="108"/>
        <v>0</v>
      </c>
      <c r="AI116" s="52">
        <f t="shared" si="109"/>
        <v>0</v>
      </c>
      <c r="AJ116" s="53"/>
    </row>
    <row r="117" spans="1:36" ht="15" customHeight="1">
      <c r="A117" s="43">
        <v>47</v>
      </c>
      <c r="B117" s="59" t="str">
        <f t="shared" si="110"/>
        <v/>
      </c>
      <c r="C117" s="59" t="str">
        <f t="shared" si="110"/>
        <v/>
      </c>
      <c r="D117" s="60" t="str">
        <f t="shared" si="110"/>
        <v/>
      </c>
      <c r="E117" s="61">
        <f t="shared" si="110"/>
        <v>0</v>
      </c>
      <c r="F117" s="60" t="str">
        <f t="shared" si="110"/>
        <v/>
      </c>
      <c r="G117" s="62" t="str">
        <f t="shared" si="110"/>
        <v/>
      </c>
      <c r="H117" s="63">
        <v>0.75</v>
      </c>
      <c r="I117" s="49">
        <f t="shared" si="85"/>
        <v>0</v>
      </c>
      <c r="J117" s="64">
        <f t="shared" si="111"/>
        <v>0</v>
      </c>
      <c r="K117" s="64">
        <f t="shared" si="111"/>
        <v>0</v>
      </c>
      <c r="L117" s="49">
        <f t="shared" si="86"/>
        <v>0</v>
      </c>
      <c r="M117" s="49">
        <f t="shared" si="87"/>
        <v>0</v>
      </c>
      <c r="N117" s="49">
        <f t="shared" si="88"/>
        <v>0</v>
      </c>
      <c r="O117" s="49">
        <f t="shared" si="89"/>
        <v>0</v>
      </c>
      <c r="P117" s="49">
        <f t="shared" si="90"/>
        <v>0</v>
      </c>
      <c r="Q117" s="49">
        <f t="shared" si="91"/>
        <v>0</v>
      </c>
      <c r="R117" s="49">
        <f t="shared" si="92"/>
        <v>0</v>
      </c>
      <c r="S117" s="49">
        <f t="shared" si="93"/>
        <v>0</v>
      </c>
      <c r="T117" s="51">
        <f t="shared" si="94"/>
        <v>0</v>
      </c>
      <c r="U117" s="49">
        <f t="shared" si="95"/>
        <v>0</v>
      </c>
      <c r="V117" s="49">
        <f t="shared" si="96"/>
        <v>0</v>
      </c>
      <c r="W117" s="49">
        <f t="shared" si="97"/>
        <v>0</v>
      </c>
      <c r="X117" s="49">
        <f t="shared" si="98"/>
        <v>0</v>
      </c>
      <c r="Y117" s="49">
        <f t="shared" si="99"/>
        <v>0</v>
      </c>
      <c r="Z117" s="49">
        <f t="shared" si="100"/>
        <v>0</v>
      </c>
      <c r="AA117" s="49">
        <f t="shared" si="101"/>
        <v>0</v>
      </c>
      <c r="AB117" s="49">
        <f t="shared" si="102"/>
        <v>0</v>
      </c>
      <c r="AC117" s="49">
        <f t="shared" si="103"/>
        <v>0</v>
      </c>
      <c r="AD117" s="49">
        <f t="shared" si="104"/>
        <v>0</v>
      </c>
      <c r="AE117" s="49">
        <f t="shared" si="105"/>
        <v>0</v>
      </c>
      <c r="AF117" s="49">
        <f t="shared" si="106"/>
        <v>0</v>
      </c>
      <c r="AG117" s="51">
        <f t="shared" si="107"/>
        <v>0</v>
      </c>
      <c r="AH117" s="52">
        <f t="shared" si="108"/>
        <v>0</v>
      </c>
      <c r="AI117" s="52">
        <f t="shared" si="109"/>
        <v>0</v>
      </c>
      <c r="AJ117" s="53"/>
    </row>
    <row r="118" spans="1:36" ht="15" customHeight="1">
      <c r="A118" s="43">
        <v>48</v>
      </c>
      <c r="B118" s="59" t="str">
        <f t="shared" si="110"/>
        <v/>
      </c>
      <c r="C118" s="59" t="str">
        <f t="shared" si="110"/>
        <v/>
      </c>
      <c r="D118" s="60" t="str">
        <f t="shared" si="110"/>
        <v/>
      </c>
      <c r="E118" s="61">
        <f t="shared" si="110"/>
        <v>0</v>
      </c>
      <c r="F118" s="60" t="str">
        <f t="shared" si="110"/>
        <v/>
      </c>
      <c r="G118" s="62" t="str">
        <f t="shared" si="110"/>
        <v/>
      </c>
      <c r="H118" s="63">
        <v>0.75</v>
      </c>
      <c r="I118" s="49">
        <f t="shared" si="85"/>
        <v>0</v>
      </c>
      <c r="J118" s="64">
        <f t="shared" si="111"/>
        <v>0</v>
      </c>
      <c r="K118" s="64">
        <f t="shared" si="111"/>
        <v>0</v>
      </c>
      <c r="L118" s="49">
        <f t="shared" si="86"/>
        <v>0</v>
      </c>
      <c r="M118" s="49">
        <f t="shared" si="87"/>
        <v>0</v>
      </c>
      <c r="N118" s="49">
        <f t="shared" si="88"/>
        <v>0</v>
      </c>
      <c r="O118" s="49">
        <f t="shared" si="89"/>
        <v>0</v>
      </c>
      <c r="P118" s="49">
        <f t="shared" si="90"/>
        <v>0</v>
      </c>
      <c r="Q118" s="49">
        <f t="shared" si="91"/>
        <v>0</v>
      </c>
      <c r="R118" s="49">
        <f t="shared" si="92"/>
        <v>0</v>
      </c>
      <c r="S118" s="49">
        <f t="shared" si="93"/>
        <v>0</v>
      </c>
      <c r="T118" s="51">
        <f t="shared" si="94"/>
        <v>0</v>
      </c>
      <c r="U118" s="49">
        <f t="shared" si="95"/>
        <v>0</v>
      </c>
      <c r="V118" s="49">
        <f t="shared" si="96"/>
        <v>0</v>
      </c>
      <c r="W118" s="49">
        <f t="shared" si="97"/>
        <v>0</v>
      </c>
      <c r="X118" s="49">
        <f t="shared" si="98"/>
        <v>0</v>
      </c>
      <c r="Y118" s="49">
        <f t="shared" si="99"/>
        <v>0</v>
      </c>
      <c r="Z118" s="49">
        <f t="shared" si="100"/>
        <v>0</v>
      </c>
      <c r="AA118" s="49">
        <f t="shared" si="101"/>
        <v>0</v>
      </c>
      <c r="AB118" s="49">
        <f t="shared" si="102"/>
        <v>0</v>
      </c>
      <c r="AC118" s="49">
        <f t="shared" si="103"/>
        <v>0</v>
      </c>
      <c r="AD118" s="49">
        <f t="shared" si="104"/>
        <v>0</v>
      </c>
      <c r="AE118" s="49">
        <f t="shared" si="105"/>
        <v>0</v>
      </c>
      <c r="AF118" s="49">
        <f t="shared" si="106"/>
        <v>0</v>
      </c>
      <c r="AG118" s="51">
        <f t="shared" si="107"/>
        <v>0</v>
      </c>
      <c r="AH118" s="52">
        <f t="shared" si="108"/>
        <v>0</v>
      </c>
      <c r="AI118" s="52">
        <f t="shared" si="109"/>
        <v>0</v>
      </c>
      <c r="AJ118" s="53"/>
    </row>
    <row r="119" spans="1:36" ht="15" customHeight="1">
      <c r="A119" s="43">
        <v>49</v>
      </c>
      <c r="B119" s="59" t="str">
        <f t="shared" si="110"/>
        <v/>
      </c>
      <c r="C119" s="59" t="str">
        <f t="shared" si="110"/>
        <v/>
      </c>
      <c r="D119" s="60" t="str">
        <f t="shared" si="110"/>
        <v/>
      </c>
      <c r="E119" s="61">
        <f t="shared" si="110"/>
        <v>0</v>
      </c>
      <c r="F119" s="60" t="str">
        <f t="shared" si="110"/>
        <v/>
      </c>
      <c r="G119" s="62" t="str">
        <f t="shared" si="110"/>
        <v/>
      </c>
      <c r="H119" s="63">
        <v>0.75</v>
      </c>
      <c r="I119" s="49">
        <f t="shared" si="85"/>
        <v>0</v>
      </c>
      <c r="J119" s="64">
        <f t="shared" si="111"/>
        <v>0</v>
      </c>
      <c r="K119" s="64">
        <f t="shared" si="111"/>
        <v>0</v>
      </c>
      <c r="L119" s="49">
        <f t="shared" si="86"/>
        <v>0</v>
      </c>
      <c r="M119" s="49">
        <f t="shared" si="87"/>
        <v>0</v>
      </c>
      <c r="N119" s="49">
        <f t="shared" si="88"/>
        <v>0</v>
      </c>
      <c r="O119" s="49">
        <f t="shared" si="89"/>
        <v>0</v>
      </c>
      <c r="P119" s="49">
        <f t="shared" si="90"/>
        <v>0</v>
      </c>
      <c r="Q119" s="49">
        <f t="shared" si="91"/>
        <v>0</v>
      </c>
      <c r="R119" s="49">
        <f t="shared" si="92"/>
        <v>0</v>
      </c>
      <c r="S119" s="49">
        <f t="shared" si="93"/>
        <v>0</v>
      </c>
      <c r="T119" s="51">
        <f t="shared" si="94"/>
        <v>0</v>
      </c>
      <c r="U119" s="49">
        <f t="shared" si="95"/>
        <v>0</v>
      </c>
      <c r="V119" s="49">
        <f t="shared" si="96"/>
        <v>0</v>
      </c>
      <c r="W119" s="49">
        <f t="shared" si="97"/>
        <v>0</v>
      </c>
      <c r="X119" s="49">
        <f t="shared" si="98"/>
        <v>0</v>
      </c>
      <c r="Y119" s="49">
        <f t="shared" si="99"/>
        <v>0</v>
      </c>
      <c r="Z119" s="49">
        <f t="shared" si="100"/>
        <v>0</v>
      </c>
      <c r="AA119" s="49">
        <f t="shared" si="101"/>
        <v>0</v>
      </c>
      <c r="AB119" s="49">
        <f t="shared" si="102"/>
        <v>0</v>
      </c>
      <c r="AC119" s="49">
        <f t="shared" si="103"/>
        <v>0</v>
      </c>
      <c r="AD119" s="49">
        <f t="shared" si="104"/>
        <v>0</v>
      </c>
      <c r="AE119" s="49">
        <f t="shared" si="105"/>
        <v>0</v>
      </c>
      <c r="AF119" s="49">
        <f t="shared" si="106"/>
        <v>0</v>
      </c>
      <c r="AG119" s="51">
        <f t="shared" si="107"/>
        <v>0</v>
      </c>
      <c r="AH119" s="52">
        <f t="shared" si="108"/>
        <v>0</v>
      </c>
      <c r="AI119" s="52">
        <f t="shared" si="109"/>
        <v>0</v>
      </c>
      <c r="AJ119" s="53"/>
    </row>
    <row r="120" spans="1:36" ht="19.5" customHeight="1">
      <c r="A120" s="43">
        <v>50</v>
      </c>
      <c r="B120" s="59" t="str">
        <f t="shared" si="110"/>
        <v/>
      </c>
      <c r="C120" s="59" t="str">
        <f t="shared" si="110"/>
        <v/>
      </c>
      <c r="D120" s="60" t="str">
        <f t="shared" si="110"/>
        <v/>
      </c>
      <c r="E120" s="61">
        <f t="shared" si="110"/>
        <v>0</v>
      </c>
      <c r="F120" s="60" t="str">
        <f t="shared" si="110"/>
        <v/>
      </c>
      <c r="G120" s="62" t="str">
        <f t="shared" si="110"/>
        <v/>
      </c>
      <c r="H120" s="63">
        <v>0.75</v>
      </c>
      <c r="I120" s="49">
        <f t="shared" si="85"/>
        <v>0</v>
      </c>
      <c r="J120" s="64">
        <f t="shared" si="111"/>
        <v>0</v>
      </c>
      <c r="K120" s="64">
        <f t="shared" si="111"/>
        <v>0</v>
      </c>
      <c r="L120" s="49">
        <f t="shared" si="86"/>
        <v>0</v>
      </c>
      <c r="M120" s="49">
        <f t="shared" si="87"/>
        <v>0</v>
      </c>
      <c r="N120" s="49">
        <f t="shared" si="88"/>
        <v>0</v>
      </c>
      <c r="O120" s="49">
        <f t="shared" si="89"/>
        <v>0</v>
      </c>
      <c r="P120" s="49">
        <f t="shared" si="90"/>
        <v>0</v>
      </c>
      <c r="Q120" s="49">
        <f t="shared" si="91"/>
        <v>0</v>
      </c>
      <c r="R120" s="49">
        <f t="shared" si="92"/>
        <v>0</v>
      </c>
      <c r="S120" s="49">
        <f t="shared" si="93"/>
        <v>0</v>
      </c>
      <c r="T120" s="51">
        <f t="shared" si="94"/>
        <v>0</v>
      </c>
      <c r="U120" s="49">
        <f t="shared" si="95"/>
        <v>0</v>
      </c>
      <c r="V120" s="49">
        <f t="shared" si="96"/>
        <v>0</v>
      </c>
      <c r="W120" s="49">
        <f t="shared" si="97"/>
        <v>0</v>
      </c>
      <c r="X120" s="49">
        <f t="shared" si="98"/>
        <v>0</v>
      </c>
      <c r="Y120" s="49">
        <f t="shared" si="99"/>
        <v>0</v>
      </c>
      <c r="Z120" s="49">
        <f t="shared" si="100"/>
        <v>0</v>
      </c>
      <c r="AA120" s="49">
        <f t="shared" si="101"/>
        <v>0</v>
      </c>
      <c r="AB120" s="49">
        <f t="shared" si="102"/>
        <v>0</v>
      </c>
      <c r="AC120" s="49">
        <f t="shared" si="103"/>
        <v>0</v>
      </c>
      <c r="AD120" s="49">
        <f t="shared" si="104"/>
        <v>0</v>
      </c>
      <c r="AE120" s="49">
        <f t="shared" si="105"/>
        <v>0</v>
      </c>
      <c r="AF120" s="49">
        <f t="shared" si="106"/>
        <v>0</v>
      </c>
      <c r="AG120" s="51">
        <f t="shared" si="107"/>
        <v>0</v>
      </c>
      <c r="AH120" s="52">
        <f t="shared" si="108"/>
        <v>0</v>
      </c>
      <c r="AI120" s="52">
        <f t="shared" si="109"/>
        <v>0</v>
      </c>
      <c r="AJ120" s="53"/>
    </row>
    <row r="121" spans="1:36" ht="15" customHeight="1">
      <c r="A121" s="43">
        <v>51</v>
      </c>
      <c r="B121" s="59" t="str">
        <f t="shared" ref="B121:G130" si="112">IF(B56="","",B56)</f>
        <v/>
      </c>
      <c r="C121" s="59" t="str">
        <f t="shared" si="112"/>
        <v/>
      </c>
      <c r="D121" s="60" t="str">
        <f t="shared" si="112"/>
        <v/>
      </c>
      <c r="E121" s="61">
        <f t="shared" si="112"/>
        <v>0</v>
      </c>
      <c r="F121" s="60" t="str">
        <f t="shared" si="112"/>
        <v/>
      </c>
      <c r="G121" s="62" t="str">
        <f t="shared" si="112"/>
        <v/>
      </c>
      <c r="H121" s="63">
        <v>0.75</v>
      </c>
      <c r="I121" s="49">
        <f t="shared" si="85"/>
        <v>0</v>
      </c>
      <c r="J121" s="64">
        <f t="shared" si="111"/>
        <v>0</v>
      </c>
      <c r="K121" s="64">
        <f t="shared" si="111"/>
        <v>0</v>
      </c>
      <c r="L121" s="49">
        <f t="shared" si="86"/>
        <v>0</v>
      </c>
      <c r="M121" s="49">
        <f t="shared" si="87"/>
        <v>0</v>
      </c>
      <c r="N121" s="49">
        <f t="shared" si="88"/>
        <v>0</v>
      </c>
      <c r="O121" s="49">
        <f t="shared" si="89"/>
        <v>0</v>
      </c>
      <c r="P121" s="49">
        <f t="shared" si="90"/>
        <v>0</v>
      </c>
      <c r="Q121" s="49">
        <f t="shared" si="91"/>
        <v>0</v>
      </c>
      <c r="R121" s="49">
        <f t="shared" si="92"/>
        <v>0</v>
      </c>
      <c r="S121" s="49">
        <f t="shared" si="93"/>
        <v>0</v>
      </c>
      <c r="T121" s="51">
        <f t="shared" si="94"/>
        <v>0</v>
      </c>
      <c r="U121" s="49">
        <f t="shared" si="95"/>
        <v>0</v>
      </c>
      <c r="V121" s="49">
        <f t="shared" si="96"/>
        <v>0</v>
      </c>
      <c r="W121" s="49">
        <f t="shared" si="97"/>
        <v>0</v>
      </c>
      <c r="X121" s="49">
        <f t="shared" si="98"/>
        <v>0</v>
      </c>
      <c r="Y121" s="49">
        <f t="shared" si="99"/>
        <v>0</v>
      </c>
      <c r="Z121" s="49">
        <f t="shared" si="100"/>
        <v>0</v>
      </c>
      <c r="AA121" s="49">
        <f t="shared" si="101"/>
        <v>0</v>
      </c>
      <c r="AB121" s="49">
        <f t="shared" si="102"/>
        <v>0</v>
      </c>
      <c r="AC121" s="49">
        <f t="shared" si="103"/>
        <v>0</v>
      </c>
      <c r="AD121" s="49">
        <f t="shared" si="104"/>
        <v>0</v>
      </c>
      <c r="AE121" s="49">
        <f t="shared" si="105"/>
        <v>0</v>
      </c>
      <c r="AF121" s="49">
        <f t="shared" si="106"/>
        <v>0</v>
      </c>
      <c r="AG121" s="51">
        <f t="shared" si="107"/>
        <v>0</v>
      </c>
      <c r="AH121" s="52">
        <f t="shared" si="108"/>
        <v>0</v>
      </c>
      <c r="AI121" s="52">
        <f t="shared" si="109"/>
        <v>0</v>
      </c>
      <c r="AJ121" s="53"/>
    </row>
    <row r="122" spans="1:36" ht="15" customHeight="1">
      <c r="A122" s="43">
        <v>52</v>
      </c>
      <c r="B122" s="59" t="str">
        <f t="shared" si="112"/>
        <v/>
      </c>
      <c r="C122" s="59" t="str">
        <f t="shared" si="112"/>
        <v/>
      </c>
      <c r="D122" s="60" t="str">
        <f t="shared" si="112"/>
        <v/>
      </c>
      <c r="E122" s="61">
        <f t="shared" si="112"/>
        <v>0</v>
      </c>
      <c r="F122" s="60" t="str">
        <f t="shared" si="112"/>
        <v/>
      </c>
      <c r="G122" s="62" t="str">
        <f t="shared" si="112"/>
        <v/>
      </c>
      <c r="H122" s="63">
        <v>0.75</v>
      </c>
      <c r="I122" s="49">
        <f t="shared" si="85"/>
        <v>0</v>
      </c>
      <c r="J122" s="64">
        <f t="shared" si="111"/>
        <v>0</v>
      </c>
      <c r="K122" s="64">
        <f t="shared" si="111"/>
        <v>0</v>
      </c>
      <c r="L122" s="49">
        <f t="shared" si="86"/>
        <v>0</v>
      </c>
      <c r="M122" s="49">
        <f t="shared" si="87"/>
        <v>0</v>
      </c>
      <c r="N122" s="49">
        <f t="shared" si="88"/>
        <v>0</v>
      </c>
      <c r="O122" s="49">
        <f t="shared" si="89"/>
        <v>0</v>
      </c>
      <c r="P122" s="49">
        <f t="shared" si="90"/>
        <v>0</v>
      </c>
      <c r="Q122" s="49">
        <f t="shared" si="91"/>
        <v>0</v>
      </c>
      <c r="R122" s="49">
        <f t="shared" si="92"/>
        <v>0</v>
      </c>
      <c r="S122" s="49">
        <f t="shared" si="93"/>
        <v>0</v>
      </c>
      <c r="T122" s="51">
        <f t="shared" si="94"/>
        <v>0</v>
      </c>
      <c r="U122" s="49">
        <f t="shared" si="95"/>
        <v>0</v>
      </c>
      <c r="V122" s="49">
        <f t="shared" si="96"/>
        <v>0</v>
      </c>
      <c r="W122" s="49">
        <f t="shared" si="97"/>
        <v>0</v>
      </c>
      <c r="X122" s="49">
        <f t="shared" si="98"/>
        <v>0</v>
      </c>
      <c r="Y122" s="49">
        <f t="shared" si="99"/>
        <v>0</v>
      </c>
      <c r="Z122" s="49">
        <f t="shared" si="100"/>
        <v>0</v>
      </c>
      <c r="AA122" s="49">
        <f t="shared" si="101"/>
        <v>0</v>
      </c>
      <c r="AB122" s="49">
        <f t="shared" si="102"/>
        <v>0</v>
      </c>
      <c r="AC122" s="49">
        <f t="shared" si="103"/>
        <v>0</v>
      </c>
      <c r="AD122" s="49">
        <f t="shared" si="104"/>
        <v>0</v>
      </c>
      <c r="AE122" s="49">
        <f t="shared" si="105"/>
        <v>0</v>
      </c>
      <c r="AF122" s="49">
        <f t="shared" si="106"/>
        <v>0</v>
      </c>
      <c r="AG122" s="51">
        <f t="shared" si="107"/>
        <v>0</v>
      </c>
      <c r="AH122" s="52">
        <f t="shared" si="108"/>
        <v>0</v>
      </c>
      <c r="AI122" s="52">
        <f t="shared" si="109"/>
        <v>0</v>
      </c>
      <c r="AJ122" s="53"/>
    </row>
    <row r="123" spans="1:36" ht="15" customHeight="1">
      <c r="A123" s="43">
        <v>53</v>
      </c>
      <c r="B123" s="59" t="str">
        <f t="shared" si="112"/>
        <v/>
      </c>
      <c r="C123" s="59" t="str">
        <f t="shared" si="112"/>
        <v/>
      </c>
      <c r="D123" s="60" t="str">
        <f t="shared" si="112"/>
        <v/>
      </c>
      <c r="E123" s="61">
        <f t="shared" si="112"/>
        <v>0</v>
      </c>
      <c r="F123" s="60" t="str">
        <f t="shared" si="112"/>
        <v/>
      </c>
      <c r="G123" s="62" t="str">
        <f t="shared" si="112"/>
        <v/>
      </c>
      <c r="H123" s="63">
        <v>0.75</v>
      </c>
      <c r="I123" s="49">
        <f t="shared" si="85"/>
        <v>0</v>
      </c>
      <c r="J123" s="64">
        <f t="shared" si="111"/>
        <v>0</v>
      </c>
      <c r="K123" s="64">
        <f t="shared" si="111"/>
        <v>0</v>
      </c>
      <c r="L123" s="49">
        <f t="shared" si="86"/>
        <v>0</v>
      </c>
      <c r="M123" s="49">
        <f t="shared" si="87"/>
        <v>0</v>
      </c>
      <c r="N123" s="49">
        <f t="shared" si="88"/>
        <v>0</v>
      </c>
      <c r="O123" s="49">
        <f t="shared" si="89"/>
        <v>0</v>
      </c>
      <c r="P123" s="49">
        <f t="shared" si="90"/>
        <v>0</v>
      </c>
      <c r="Q123" s="49">
        <f t="shared" si="91"/>
        <v>0</v>
      </c>
      <c r="R123" s="49">
        <f t="shared" si="92"/>
        <v>0</v>
      </c>
      <c r="S123" s="49">
        <f t="shared" si="93"/>
        <v>0</v>
      </c>
      <c r="T123" s="51">
        <f t="shared" si="94"/>
        <v>0</v>
      </c>
      <c r="U123" s="49">
        <f t="shared" si="95"/>
        <v>0</v>
      </c>
      <c r="V123" s="49">
        <f t="shared" si="96"/>
        <v>0</v>
      </c>
      <c r="W123" s="49">
        <f t="shared" si="97"/>
        <v>0</v>
      </c>
      <c r="X123" s="49">
        <f t="shared" si="98"/>
        <v>0</v>
      </c>
      <c r="Y123" s="49">
        <f t="shared" si="99"/>
        <v>0</v>
      </c>
      <c r="Z123" s="49">
        <f t="shared" si="100"/>
        <v>0</v>
      </c>
      <c r="AA123" s="49">
        <f t="shared" si="101"/>
        <v>0</v>
      </c>
      <c r="AB123" s="49">
        <f t="shared" si="102"/>
        <v>0</v>
      </c>
      <c r="AC123" s="49">
        <f t="shared" si="103"/>
        <v>0</v>
      </c>
      <c r="AD123" s="49">
        <f t="shared" si="104"/>
        <v>0</v>
      </c>
      <c r="AE123" s="49">
        <f t="shared" si="105"/>
        <v>0</v>
      </c>
      <c r="AF123" s="49">
        <f t="shared" si="106"/>
        <v>0</v>
      </c>
      <c r="AG123" s="51">
        <f t="shared" si="107"/>
        <v>0</v>
      </c>
      <c r="AH123" s="52">
        <f t="shared" si="108"/>
        <v>0</v>
      </c>
      <c r="AI123" s="52">
        <f t="shared" si="109"/>
        <v>0</v>
      </c>
      <c r="AJ123" s="53"/>
    </row>
    <row r="124" spans="1:36" ht="15" customHeight="1">
      <c r="A124" s="43">
        <v>54</v>
      </c>
      <c r="B124" s="59" t="str">
        <f t="shared" si="112"/>
        <v/>
      </c>
      <c r="C124" s="59" t="str">
        <f t="shared" si="112"/>
        <v/>
      </c>
      <c r="D124" s="60" t="str">
        <f t="shared" si="112"/>
        <v/>
      </c>
      <c r="E124" s="61">
        <f t="shared" si="112"/>
        <v>0</v>
      </c>
      <c r="F124" s="60" t="str">
        <f t="shared" si="112"/>
        <v/>
      </c>
      <c r="G124" s="62" t="str">
        <f t="shared" si="112"/>
        <v/>
      </c>
      <c r="H124" s="63">
        <v>0.75</v>
      </c>
      <c r="I124" s="49">
        <f t="shared" si="85"/>
        <v>0</v>
      </c>
      <c r="J124" s="64">
        <f t="shared" si="111"/>
        <v>0</v>
      </c>
      <c r="K124" s="64">
        <f t="shared" si="111"/>
        <v>0</v>
      </c>
      <c r="L124" s="49">
        <f t="shared" si="86"/>
        <v>0</v>
      </c>
      <c r="M124" s="49">
        <f t="shared" si="87"/>
        <v>0</v>
      </c>
      <c r="N124" s="49">
        <f t="shared" si="88"/>
        <v>0</v>
      </c>
      <c r="O124" s="49">
        <f t="shared" si="89"/>
        <v>0</v>
      </c>
      <c r="P124" s="49">
        <f t="shared" si="90"/>
        <v>0</v>
      </c>
      <c r="Q124" s="49">
        <f t="shared" si="91"/>
        <v>0</v>
      </c>
      <c r="R124" s="49">
        <f t="shared" si="92"/>
        <v>0</v>
      </c>
      <c r="S124" s="49">
        <f t="shared" si="93"/>
        <v>0</v>
      </c>
      <c r="T124" s="51">
        <f t="shared" si="94"/>
        <v>0</v>
      </c>
      <c r="U124" s="49">
        <f t="shared" si="95"/>
        <v>0</v>
      </c>
      <c r="V124" s="49">
        <f t="shared" si="96"/>
        <v>0</v>
      </c>
      <c r="W124" s="49">
        <f t="shared" si="97"/>
        <v>0</v>
      </c>
      <c r="X124" s="49">
        <f t="shared" si="98"/>
        <v>0</v>
      </c>
      <c r="Y124" s="49">
        <f t="shared" si="99"/>
        <v>0</v>
      </c>
      <c r="Z124" s="49">
        <f t="shared" si="100"/>
        <v>0</v>
      </c>
      <c r="AA124" s="49">
        <f t="shared" si="101"/>
        <v>0</v>
      </c>
      <c r="AB124" s="49">
        <f t="shared" si="102"/>
        <v>0</v>
      </c>
      <c r="AC124" s="49">
        <f t="shared" si="103"/>
        <v>0</v>
      </c>
      <c r="AD124" s="49">
        <f t="shared" si="104"/>
        <v>0</v>
      </c>
      <c r="AE124" s="49">
        <f t="shared" si="105"/>
        <v>0</v>
      </c>
      <c r="AF124" s="49">
        <f t="shared" si="106"/>
        <v>0</v>
      </c>
      <c r="AG124" s="51">
        <f t="shared" si="107"/>
        <v>0</v>
      </c>
      <c r="AH124" s="52">
        <f t="shared" si="108"/>
        <v>0</v>
      </c>
      <c r="AI124" s="52">
        <f t="shared" si="109"/>
        <v>0</v>
      </c>
      <c r="AJ124" s="53"/>
    </row>
    <row r="125" spans="1:36" ht="15" customHeight="1">
      <c r="A125" s="43">
        <v>55</v>
      </c>
      <c r="B125" s="59" t="str">
        <f t="shared" si="112"/>
        <v/>
      </c>
      <c r="C125" s="59" t="str">
        <f t="shared" si="112"/>
        <v/>
      </c>
      <c r="D125" s="60" t="str">
        <f t="shared" si="112"/>
        <v/>
      </c>
      <c r="E125" s="61">
        <f t="shared" si="112"/>
        <v>0</v>
      </c>
      <c r="F125" s="60" t="str">
        <f t="shared" si="112"/>
        <v/>
      </c>
      <c r="G125" s="62" t="str">
        <f t="shared" si="112"/>
        <v/>
      </c>
      <c r="H125" s="63">
        <v>0.75</v>
      </c>
      <c r="I125" s="49">
        <f t="shared" si="85"/>
        <v>0</v>
      </c>
      <c r="J125" s="64">
        <f t="shared" si="111"/>
        <v>0</v>
      </c>
      <c r="K125" s="64">
        <f t="shared" si="111"/>
        <v>0</v>
      </c>
      <c r="L125" s="49">
        <f t="shared" si="86"/>
        <v>0</v>
      </c>
      <c r="M125" s="49">
        <f t="shared" si="87"/>
        <v>0</v>
      </c>
      <c r="N125" s="49">
        <f t="shared" si="88"/>
        <v>0</v>
      </c>
      <c r="O125" s="49">
        <f t="shared" si="89"/>
        <v>0</v>
      </c>
      <c r="P125" s="49">
        <f t="shared" si="90"/>
        <v>0</v>
      </c>
      <c r="Q125" s="49">
        <f t="shared" si="91"/>
        <v>0</v>
      </c>
      <c r="R125" s="49">
        <f t="shared" si="92"/>
        <v>0</v>
      </c>
      <c r="S125" s="49">
        <f t="shared" si="93"/>
        <v>0</v>
      </c>
      <c r="T125" s="51">
        <f t="shared" si="94"/>
        <v>0</v>
      </c>
      <c r="U125" s="49">
        <f t="shared" si="95"/>
        <v>0</v>
      </c>
      <c r="V125" s="49">
        <f t="shared" si="96"/>
        <v>0</v>
      </c>
      <c r="W125" s="49">
        <f t="shared" si="97"/>
        <v>0</v>
      </c>
      <c r="X125" s="49">
        <f t="shared" si="98"/>
        <v>0</v>
      </c>
      <c r="Y125" s="49">
        <f t="shared" si="99"/>
        <v>0</v>
      </c>
      <c r="Z125" s="49">
        <f t="shared" si="100"/>
        <v>0</v>
      </c>
      <c r="AA125" s="49">
        <f t="shared" si="101"/>
        <v>0</v>
      </c>
      <c r="AB125" s="49">
        <f t="shared" si="102"/>
        <v>0</v>
      </c>
      <c r="AC125" s="49">
        <f t="shared" si="103"/>
        <v>0</v>
      </c>
      <c r="AD125" s="49">
        <f t="shared" si="104"/>
        <v>0</v>
      </c>
      <c r="AE125" s="49">
        <f t="shared" si="105"/>
        <v>0</v>
      </c>
      <c r="AF125" s="49">
        <f t="shared" si="106"/>
        <v>0</v>
      </c>
      <c r="AG125" s="51">
        <f t="shared" si="107"/>
        <v>0</v>
      </c>
      <c r="AH125" s="52">
        <f t="shared" si="108"/>
        <v>0</v>
      </c>
      <c r="AI125" s="52">
        <f t="shared" si="109"/>
        <v>0</v>
      </c>
      <c r="AJ125" s="53"/>
    </row>
    <row r="126" spans="1:36" ht="15" customHeight="1">
      <c r="A126" s="43">
        <v>56</v>
      </c>
      <c r="B126" s="59" t="str">
        <f t="shared" si="112"/>
        <v/>
      </c>
      <c r="C126" s="59" t="str">
        <f t="shared" si="112"/>
        <v/>
      </c>
      <c r="D126" s="60" t="str">
        <f t="shared" si="112"/>
        <v/>
      </c>
      <c r="E126" s="61">
        <f t="shared" si="112"/>
        <v>0</v>
      </c>
      <c r="F126" s="60" t="str">
        <f t="shared" si="112"/>
        <v/>
      </c>
      <c r="G126" s="62" t="str">
        <f t="shared" si="112"/>
        <v/>
      </c>
      <c r="H126" s="63">
        <v>0.75</v>
      </c>
      <c r="I126" s="49">
        <f t="shared" si="85"/>
        <v>0</v>
      </c>
      <c r="J126" s="64">
        <f t="shared" si="111"/>
        <v>0</v>
      </c>
      <c r="K126" s="64">
        <f t="shared" si="111"/>
        <v>0</v>
      </c>
      <c r="L126" s="49">
        <f t="shared" si="86"/>
        <v>0</v>
      </c>
      <c r="M126" s="49">
        <f t="shared" si="87"/>
        <v>0</v>
      </c>
      <c r="N126" s="49">
        <f t="shared" si="88"/>
        <v>0</v>
      </c>
      <c r="O126" s="49">
        <f t="shared" si="89"/>
        <v>0</v>
      </c>
      <c r="P126" s="49">
        <f t="shared" si="90"/>
        <v>0</v>
      </c>
      <c r="Q126" s="49">
        <f t="shared" si="91"/>
        <v>0</v>
      </c>
      <c r="R126" s="49">
        <f t="shared" si="92"/>
        <v>0</v>
      </c>
      <c r="S126" s="49">
        <f t="shared" si="93"/>
        <v>0</v>
      </c>
      <c r="T126" s="51">
        <f t="shared" si="94"/>
        <v>0</v>
      </c>
      <c r="U126" s="49">
        <f t="shared" si="95"/>
        <v>0</v>
      </c>
      <c r="V126" s="49">
        <f t="shared" si="96"/>
        <v>0</v>
      </c>
      <c r="W126" s="49">
        <f t="shared" si="97"/>
        <v>0</v>
      </c>
      <c r="X126" s="49">
        <f t="shared" si="98"/>
        <v>0</v>
      </c>
      <c r="Y126" s="49">
        <f t="shared" si="99"/>
        <v>0</v>
      </c>
      <c r="Z126" s="49">
        <f t="shared" si="100"/>
        <v>0</v>
      </c>
      <c r="AA126" s="49">
        <f t="shared" si="101"/>
        <v>0</v>
      </c>
      <c r="AB126" s="49">
        <f t="shared" si="102"/>
        <v>0</v>
      </c>
      <c r="AC126" s="49">
        <f t="shared" si="103"/>
        <v>0</v>
      </c>
      <c r="AD126" s="49">
        <f t="shared" si="104"/>
        <v>0</v>
      </c>
      <c r="AE126" s="49">
        <f t="shared" si="105"/>
        <v>0</v>
      </c>
      <c r="AF126" s="49">
        <f t="shared" si="106"/>
        <v>0</v>
      </c>
      <c r="AG126" s="51">
        <f t="shared" si="107"/>
        <v>0</v>
      </c>
      <c r="AH126" s="52">
        <f t="shared" si="108"/>
        <v>0</v>
      </c>
      <c r="AI126" s="52">
        <f t="shared" si="109"/>
        <v>0</v>
      </c>
      <c r="AJ126" s="53"/>
    </row>
    <row r="127" spans="1:36" ht="15" customHeight="1">
      <c r="A127" s="43">
        <v>57</v>
      </c>
      <c r="B127" s="59" t="str">
        <f t="shared" si="112"/>
        <v/>
      </c>
      <c r="C127" s="59" t="str">
        <f t="shared" si="112"/>
        <v/>
      </c>
      <c r="D127" s="60" t="str">
        <f t="shared" si="112"/>
        <v/>
      </c>
      <c r="E127" s="61">
        <f t="shared" si="112"/>
        <v>0</v>
      </c>
      <c r="F127" s="60" t="str">
        <f t="shared" si="112"/>
        <v/>
      </c>
      <c r="G127" s="62" t="str">
        <f t="shared" si="112"/>
        <v/>
      </c>
      <c r="H127" s="63">
        <v>0.75</v>
      </c>
      <c r="I127" s="49">
        <f t="shared" si="85"/>
        <v>0</v>
      </c>
      <c r="J127" s="64">
        <f t="shared" si="111"/>
        <v>0</v>
      </c>
      <c r="K127" s="64">
        <f t="shared" si="111"/>
        <v>0</v>
      </c>
      <c r="L127" s="49">
        <f t="shared" si="86"/>
        <v>0</v>
      </c>
      <c r="M127" s="49">
        <f t="shared" si="87"/>
        <v>0</v>
      </c>
      <c r="N127" s="49">
        <f t="shared" si="88"/>
        <v>0</v>
      </c>
      <c r="O127" s="49">
        <f t="shared" si="89"/>
        <v>0</v>
      </c>
      <c r="P127" s="49">
        <f t="shared" si="90"/>
        <v>0</v>
      </c>
      <c r="Q127" s="49">
        <f t="shared" si="91"/>
        <v>0</v>
      </c>
      <c r="R127" s="49">
        <f t="shared" si="92"/>
        <v>0</v>
      </c>
      <c r="S127" s="49">
        <f t="shared" si="93"/>
        <v>0</v>
      </c>
      <c r="T127" s="51">
        <f t="shared" si="94"/>
        <v>0</v>
      </c>
      <c r="U127" s="49">
        <f t="shared" si="95"/>
        <v>0</v>
      </c>
      <c r="V127" s="49">
        <f t="shared" si="96"/>
        <v>0</v>
      </c>
      <c r="W127" s="49">
        <f t="shared" si="97"/>
        <v>0</v>
      </c>
      <c r="X127" s="49">
        <f t="shared" si="98"/>
        <v>0</v>
      </c>
      <c r="Y127" s="49">
        <f t="shared" si="99"/>
        <v>0</v>
      </c>
      <c r="Z127" s="49">
        <f t="shared" si="100"/>
        <v>0</v>
      </c>
      <c r="AA127" s="49">
        <f t="shared" si="101"/>
        <v>0</v>
      </c>
      <c r="AB127" s="49">
        <f t="shared" si="102"/>
        <v>0</v>
      </c>
      <c r="AC127" s="49">
        <f t="shared" si="103"/>
        <v>0</v>
      </c>
      <c r="AD127" s="49">
        <f t="shared" si="104"/>
        <v>0</v>
      </c>
      <c r="AE127" s="49">
        <f t="shared" si="105"/>
        <v>0</v>
      </c>
      <c r="AF127" s="49">
        <f t="shared" si="106"/>
        <v>0</v>
      </c>
      <c r="AG127" s="51">
        <f t="shared" si="107"/>
        <v>0</v>
      </c>
      <c r="AH127" s="52">
        <f t="shared" si="108"/>
        <v>0</v>
      </c>
      <c r="AI127" s="52">
        <f t="shared" si="109"/>
        <v>0</v>
      </c>
      <c r="AJ127" s="53"/>
    </row>
    <row r="128" spans="1:36" ht="15" customHeight="1">
      <c r="A128" s="43">
        <v>58</v>
      </c>
      <c r="B128" s="59" t="str">
        <f t="shared" si="112"/>
        <v/>
      </c>
      <c r="C128" s="59" t="str">
        <f t="shared" si="112"/>
        <v/>
      </c>
      <c r="D128" s="60" t="str">
        <f t="shared" si="112"/>
        <v/>
      </c>
      <c r="E128" s="61">
        <f t="shared" si="112"/>
        <v>0</v>
      </c>
      <c r="F128" s="60" t="str">
        <f t="shared" si="112"/>
        <v/>
      </c>
      <c r="G128" s="62" t="str">
        <f t="shared" si="112"/>
        <v/>
      </c>
      <c r="H128" s="63">
        <v>0.75</v>
      </c>
      <c r="I128" s="49">
        <f t="shared" si="85"/>
        <v>0</v>
      </c>
      <c r="J128" s="64">
        <f t="shared" si="111"/>
        <v>0</v>
      </c>
      <c r="K128" s="64">
        <f t="shared" si="111"/>
        <v>0</v>
      </c>
      <c r="L128" s="49">
        <f t="shared" si="86"/>
        <v>0</v>
      </c>
      <c r="M128" s="49">
        <f t="shared" si="87"/>
        <v>0</v>
      </c>
      <c r="N128" s="49">
        <f t="shared" si="88"/>
        <v>0</v>
      </c>
      <c r="O128" s="49">
        <f t="shared" si="89"/>
        <v>0</v>
      </c>
      <c r="P128" s="49">
        <f t="shared" si="90"/>
        <v>0</v>
      </c>
      <c r="Q128" s="49">
        <f t="shared" si="91"/>
        <v>0</v>
      </c>
      <c r="R128" s="49">
        <f t="shared" si="92"/>
        <v>0</v>
      </c>
      <c r="S128" s="49">
        <f t="shared" si="93"/>
        <v>0</v>
      </c>
      <c r="T128" s="51">
        <f t="shared" si="94"/>
        <v>0</v>
      </c>
      <c r="U128" s="49">
        <f t="shared" si="95"/>
        <v>0</v>
      </c>
      <c r="V128" s="49">
        <f t="shared" si="96"/>
        <v>0</v>
      </c>
      <c r="W128" s="49">
        <f t="shared" si="97"/>
        <v>0</v>
      </c>
      <c r="X128" s="49">
        <f t="shared" si="98"/>
        <v>0</v>
      </c>
      <c r="Y128" s="49">
        <f t="shared" si="99"/>
        <v>0</v>
      </c>
      <c r="Z128" s="49">
        <f t="shared" si="100"/>
        <v>0</v>
      </c>
      <c r="AA128" s="49">
        <f t="shared" si="101"/>
        <v>0</v>
      </c>
      <c r="AB128" s="49">
        <f t="shared" si="102"/>
        <v>0</v>
      </c>
      <c r="AC128" s="49">
        <f t="shared" si="103"/>
        <v>0</v>
      </c>
      <c r="AD128" s="49">
        <f t="shared" si="104"/>
        <v>0</v>
      </c>
      <c r="AE128" s="49">
        <f t="shared" si="105"/>
        <v>0</v>
      </c>
      <c r="AF128" s="49">
        <f t="shared" si="106"/>
        <v>0</v>
      </c>
      <c r="AG128" s="51">
        <f t="shared" si="107"/>
        <v>0</v>
      </c>
      <c r="AH128" s="52">
        <f t="shared" si="108"/>
        <v>0</v>
      </c>
      <c r="AI128" s="52">
        <f t="shared" si="109"/>
        <v>0</v>
      </c>
      <c r="AJ128" s="53"/>
    </row>
    <row r="129" spans="1:36" ht="15" customHeight="1">
      <c r="A129" s="43">
        <v>59</v>
      </c>
      <c r="B129" s="59" t="str">
        <f t="shared" si="112"/>
        <v/>
      </c>
      <c r="C129" s="59" t="str">
        <f t="shared" si="112"/>
        <v/>
      </c>
      <c r="D129" s="60" t="str">
        <f t="shared" si="112"/>
        <v/>
      </c>
      <c r="E129" s="61">
        <f t="shared" si="112"/>
        <v>0</v>
      </c>
      <c r="F129" s="60" t="str">
        <f t="shared" si="112"/>
        <v/>
      </c>
      <c r="G129" s="62" t="str">
        <f t="shared" si="112"/>
        <v/>
      </c>
      <c r="H129" s="63">
        <v>0.75</v>
      </c>
      <c r="I129" s="49">
        <f t="shared" si="85"/>
        <v>0</v>
      </c>
      <c r="J129" s="64">
        <f t="shared" si="111"/>
        <v>0</v>
      </c>
      <c r="K129" s="64">
        <f t="shared" si="111"/>
        <v>0</v>
      </c>
      <c r="L129" s="49">
        <f t="shared" si="86"/>
        <v>0</v>
      </c>
      <c r="M129" s="49">
        <f t="shared" si="87"/>
        <v>0</v>
      </c>
      <c r="N129" s="49">
        <f t="shared" si="88"/>
        <v>0</v>
      </c>
      <c r="O129" s="49">
        <f t="shared" si="89"/>
        <v>0</v>
      </c>
      <c r="P129" s="49">
        <f t="shared" si="90"/>
        <v>0</v>
      </c>
      <c r="Q129" s="49">
        <f t="shared" si="91"/>
        <v>0</v>
      </c>
      <c r="R129" s="49">
        <f t="shared" si="92"/>
        <v>0</v>
      </c>
      <c r="S129" s="49">
        <f t="shared" si="93"/>
        <v>0</v>
      </c>
      <c r="T129" s="51">
        <f t="shared" si="94"/>
        <v>0</v>
      </c>
      <c r="U129" s="49">
        <f t="shared" si="95"/>
        <v>0</v>
      </c>
      <c r="V129" s="49">
        <f t="shared" si="96"/>
        <v>0</v>
      </c>
      <c r="W129" s="49">
        <f t="shared" si="97"/>
        <v>0</v>
      </c>
      <c r="X129" s="49">
        <f t="shared" si="98"/>
        <v>0</v>
      </c>
      <c r="Y129" s="49">
        <f t="shared" si="99"/>
        <v>0</v>
      </c>
      <c r="Z129" s="49">
        <f t="shared" si="100"/>
        <v>0</v>
      </c>
      <c r="AA129" s="49">
        <f t="shared" si="101"/>
        <v>0</v>
      </c>
      <c r="AB129" s="49">
        <f t="shared" si="102"/>
        <v>0</v>
      </c>
      <c r="AC129" s="49">
        <f t="shared" si="103"/>
        <v>0</v>
      </c>
      <c r="AD129" s="49">
        <f t="shared" si="104"/>
        <v>0</v>
      </c>
      <c r="AE129" s="49">
        <f t="shared" si="105"/>
        <v>0</v>
      </c>
      <c r="AF129" s="49">
        <f t="shared" si="106"/>
        <v>0</v>
      </c>
      <c r="AG129" s="51">
        <f t="shared" si="107"/>
        <v>0</v>
      </c>
      <c r="AH129" s="52">
        <f t="shared" si="108"/>
        <v>0</v>
      </c>
      <c r="AI129" s="52">
        <f t="shared" si="109"/>
        <v>0</v>
      </c>
      <c r="AJ129" s="53"/>
    </row>
    <row r="130" spans="1:36" ht="15" customHeight="1">
      <c r="A130" s="43">
        <v>60</v>
      </c>
      <c r="B130" s="59" t="str">
        <f t="shared" si="112"/>
        <v/>
      </c>
      <c r="C130" s="59" t="str">
        <f t="shared" si="112"/>
        <v/>
      </c>
      <c r="D130" s="60" t="str">
        <f t="shared" si="112"/>
        <v/>
      </c>
      <c r="E130" s="61">
        <f t="shared" si="112"/>
        <v>0</v>
      </c>
      <c r="F130" s="60" t="str">
        <f t="shared" si="112"/>
        <v/>
      </c>
      <c r="G130" s="62" t="str">
        <f t="shared" si="112"/>
        <v/>
      </c>
      <c r="H130" s="63">
        <v>0.75</v>
      </c>
      <c r="I130" s="49">
        <f t="shared" si="85"/>
        <v>0</v>
      </c>
      <c r="J130" s="64">
        <f t="shared" si="111"/>
        <v>0</v>
      </c>
      <c r="K130" s="64">
        <f t="shared" si="111"/>
        <v>0</v>
      </c>
      <c r="L130" s="49">
        <f t="shared" si="86"/>
        <v>0</v>
      </c>
      <c r="M130" s="49">
        <f t="shared" si="87"/>
        <v>0</v>
      </c>
      <c r="N130" s="49">
        <f t="shared" si="88"/>
        <v>0</v>
      </c>
      <c r="O130" s="49">
        <f t="shared" si="89"/>
        <v>0</v>
      </c>
      <c r="P130" s="49">
        <f t="shared" si="90"/>
        <v>0</v>
      </c>
      <c r="Q130" s="49">
        <f t="shared" si="91"/>
        <v>0</v>
      </c>
      <c r="R130" s="49">
        <f t="shared" si="92"/>
        <v>0</v>
      </c>
      <c r="S130" s="49">
        <f t="shared" si="93"/>
        <v>0</v>
      </c>
      <c r="T130" s="51">
        <f t="shared" si="94"/>
        <v>0</v>
      </c>
      <c r="U130" s="49">
        <f t="shared" si="95"/>
        <v>0</v>
      </c>
      <c r="V130" s="49">
        <f t="shared" si="96"/>
        <v>0</v>
      </c>
      <c r="W130" s="49">
        <f t="shared" si="97"/>
        <v>0</v>
      </c>
      <c r="X130" s="49">
        <f t="shared" si="98"/>
        <v>0</v>
      </c>
      <c r="Y130" s="49">
        <f t="shared" si="99"/>
        <v>0</v>
      </c>
      <c r="Z130" s="49">
        <f t="shared" si="100"/>
        <v>0</v>
      </c>
      <c r="AA130" s="49">
        <f t="shared" si="101"/>
        <v>0</v>
      </c>
      <c r="AB130" s="49">
        <f t="shared" si="102"/>
        <v>0</v>
      </c>
      <c r="AC130" s="49">
        <f t="shared" si="103"/>
        <v>0</v>
      </c>
      <c r="AD130" s="49">
        <f t="shared" si="104"/>
        <v>0</v>
      </c>
      <c r="AE130" s="49">
        <f t="shared" si="105"/>
        <v>0</v>
      </c>
      <c r="AF130" s="49">
        <f t="shared" si="106"/>
        <v>0</v>
      </c>
      <c r="AG130" s="51">
        <f t="shared" si="107"/>
        <v>0</v>
      </c>
      <c r="AH130" s="52">
        <f t="shared" si="108"/>
        <v>0</v>
      </c>
      <c r="AI130" s="52">
        <f t="shared" si="109"/>
        <v>0</v>
      </c>
      <c r="AJ130" s="53"/>
    </row>
    <row r="131" spans="1:36" ht="19.5" customHeight="1">
      <c r="A131" s="54"/>
      <c r="B131" s="55" t="s">
        <v>130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6">
        <f t="shared" ref="L131:S131" si="113">SUM(L71:L130)</f>
        <v>762502</v>
      </c>
      <c r="M131" s="56">
        <f t="shared" si="113"/>
        <v>1272145.75</v>
      </c>
      <c r="N131" s="56">
        <f t="shared" si="113"/>
        <v>2009083.25</v>
      </c>
      <c r="O131" s="56">
        <f t="shared" si="113"/>
        <v>2123458.25</v>
      </c>
      <c r="P131" s="56">
        <f t="shared" si="113"/>
        <v>2266583.25</v>
      </c>
      <c r="Q131" s="56">
        <f t="shared" si="113"/>
        <v>2266583.25</v>
      </c>
      <c r="R131" s="56">
        <f t="shared" si="113"/>
        <v>2647958.25</v>
      </c>
      <c r="S131" s="56">
        <f t="shared" si="113"/>
        <v>2647958.25</v>
      </c>
      <c r="T131" s="58">
        <f t="shared" si="94"/>
        <v>15996272.25</v>
      </c>
      <c r="U131" s="56">
        <f t="shared" ref="U131:AF131" si="114">SUM(U71:U130)</f>
        <v>2647958.25</v>
      </c>
      <c r="V131" s="56">
        <f t="shared" si="114"/>
        <v>2647958.25</v>
      </c>
      <c r="W131" s="56">
        <f t="shared" si="114"/>
        <v>2647958.25</v>
      </c>
      <c r="X131" s="56">
        <f t="shared" si="114"/>
        <v>2647958.25</v>
      </c>
      <c r="Y131" s="56">
        <f t="shared" si="114"/>
        <v>2647958.25</v>
      </c>
      <c r="Z131" s="56">
        <f t="shared" si="114"/>
        <v>2647958.25</v>
      </c>
      <c r="AA131" s="56">
        <f t="shared" si="114"/>
        <v>2647958.25</v>
      </c>
      <c r="AB131" s="56">
        <f t="shared" si="114"/>
        <v>2647958.25</v>
      </c>
      <c r="AC131" s="56">
        <f t="shared" si="114"/>
        <v>2647958.25</v>
      </c>
      <c r="AD131" s="56">
        <f t="shared" si="114"/>
        <v>2647958.25</v>
      </c>
      <c r="AE131" s="56">
        <f t="shared" si="114"/>
        <v>2647958.25</v>
      </c>
      <c r="AF131" s="56">
        <f t="shared" si="114"/>
        <v>2647958.25</v>
      </c>
      <c r="AG131" s="58">
        <f t="shared" si="107"/>
        <v>31775499</v>
      </c>
      <c r="AH131" s="56">
        <f t="shared" si="108"/>
        <v>47771771.25</v>
      </c>
      <c r="AI131" s="54"/>
      <c r="AJ131" s="54"/>
    </row>
    <row r="132" spans="1:36" ht="15" customHeight="1">
      <c r="A132" s="54"/>
      <c r="B132" s="55" t="s">
        <v>131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6">
        <f>SUMPRODUCT(E71:E130,L71:L130)</f>
        <v>646097.44999999995</v>
      </c>
      <c r="M132" s="56">
        <f>SUMPRODUCT(E71:E130,M71:M130)</f>
        <v>1004573.7</v>
      </c>
      <c r="N132" s="56">
        <f>SUMPRODUCT(E71:E130,N71:N130)</f>
        <v>1394704.95</v>
      </c>
      <c r="O132" s="56">
        <f>SUMPRODUCT(E71:E130,O71:O130)</f>
        <v>1463329.95</v>
      </c>
      <c r="P132" s="56">
        <f>SUMPRODUCT(E71:E130,P71:P130)</f>
        <v>1549204.9500000002</v>
      </c>
      <c r="Q132" s="56">
        <f>SUMPRODUCT(E71:E130,Q71:Q130)</f>
        <v>1549204.9500000002</v>
      </c>
      <c r="R132" s="56">
        <f>SUMPRODUCT(E71:E130,R71:R130)</f>
        <v>1778029.9500000002</v>
      </c>
      <c r="S132" s="56">
        <f>SUMPRODUCT(E71:E130,S71:S130)</f>
        <v>1778029.9500000002</v>
      </c>
      <c r="T132" s="58">
        <f t="shared" si="94"/>
        <v>11163175.850000001</v>
      </c>
      <c r="U132" s="56">
        <f>SUMPRODUCT(E71:E130,U71:U130)</f>
        <v>1778029.9500000002</v>
      </c>
      <c r="V132" s="56">
        <f>SUMPRODUCT(E71:E130,V71:V130)</f>
        <v>1778029.9500000002</v>
      </c>
      <c r="W132" s="56">
        <f>SUMPRODUCT(E71:E130,W71:W130)</f>
        <v>1778029.9500000002</v>
      </c>
      <c r="X132" s="56">
        <f>SUMPRODUCT(E71:E130,X71:X130)</f>
        <v>1778029.9500000002</v>
      </c>
      <c r="Y132" s="56">
        <f>SUMPRODUCT(E71:E130,Y71:Y130)</f>
        <v>1778029.9500000002</v>
      </c>
      <c r="Z132" s="56">
        <f>SUMPRODUCT(E71:E130,Z71:Z130)</f>
        <v>1778029.9500000002</v>
      </c>
      <c r="AA132" s="56">
        <f>SUMPRODUCT(E71:E130,AA71:AA130)</f>
        <v>1778029.9500000002</v>
      </c>
      <c r="AB132" s="56">
        <f>SUMPRODUCT(E71:E130,AB71:AB130)</f>
        <v>1778029.9500000002</v>
      </c>
      <c r="AC132" s="56">
        <f>SUMPRODUCT(E71:E130,AC71:AC130)</f>
        <v>1778029.9500000002</v>
      </c>
      <c r="AD132" s="56">
        <f>SUMPRODUCT(E71:E130,AD71:AD130)</f>
        <v>1778029.9500000002</v>
      </c>
      <c r="AE132" s="56">
        <f>SUMPRODUCT(E71:E130,AE71:AE130)</f>
        <v>1778029.9500000002</v>
      </c>
      <c r="AF132" s="56">
        <f>SUMPRODUCT(E71:E130,AF71:AF130)</f>
        <v>1778029.9500000002</v>
      </c>
      <c r="AG132" s="58">
        <f t="shared" si="107"/>
        <v>21336359.399999995</v>
      </c>
      <c r="AH132" s="56">
        <f t="shared" si="108"/>
        <v>32499535.249999996</v>
      </c>
      <c r="AI132" s="54"/>
      <c r="AJ132" s="54"/>
    </row>
    <row r="133" spans="1:36" ht="19.5" customHeight="1">
      <c r="A133" s="54"/>
      <c r="B133" s="55"/>
      <c r="C133" s="54"/>
      <c r="D133" s="54"/>
      <c r="E133" s="54"/>
      <c r="F133" s="54"/>
      <c r="G133" s="54"/>
      <c r="H133" s="54"/>
      <c r="I133" s="54"/>
      <c r="J133" s="54"/>
      <c r="K133" s="54"/>
      <c r="L133" s="56"/>
      <c r="M133" s="56"/>
      <c r="N133" s="56"/>
      <c r="O133" s="56"/>
      <c r="P133" s="56"/>
      <c r="Q133" s="56"/>
      <c r="R133" s="56"/>
      <c r="S133" s="56"/>
      <c r="T133" s="58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8"/>
      <c r="AH133" s="56"/>
      <c r="AI133" s="54"/>
      <c r="AJ133" s="54"/>
    </row>
    <row r="134" spans="1:36" ht="40.5" customHeight="1">
      <c r="A134" s="477" t="s">
        <v>132</v>
      </c>
      <c r="B134" s="477"/>
      <c r="C134" s="477"/>
      <c r="D134" s="477"/>
      <c r="E134" s="477"/>
      <c r="F134" s="477"/>
      <c r="G134" s="477"/>
      <c r="H134" s="477"/>
      <c r="I134" s="477"/>
      <c r="J134" s="477"/>
      <c r="K134" s="477"/>
      <c r="L134" s="477"/>
      <c r="M134" s="477"/>
      <c r="N134" s="477"/>
      <c r="O134" s="477"/>
      <c r="P134" s="477"/>
      <c r="Q134" s="477"/>
      <c r="R134" s="477"/>
      <c r="S134" s="477"/>
      <c r="T134" s="477"/>
      <c r="U134" s="477"/>
      <c r="V134" s="477"/>
      <c r="W134" s="477"/>
      <c r="X134" s="477"/>
      <c r="Y134" s="477"/>
      <c r="Z134" s="477"/>
      <c r="AA134" s="477"/>
      <c r="AB134" s="477"/>
      <c r="AC134" s="477"/>
      <c r="AD134" s="477"/>
      <c r="AE134" s="477"/>
      <c r="AF134" s="477"/>
      <c r="AG134" s="477"/>
      <c r="AH134" s="477"/>
      <c r="AI134" s="477"/>
      <c r="AJ134" s="477"/>
    </row>
    <row r="135" spans="1:36" ht="28.5" customHeight="1">
      <c r="A135" s="40" t="s">
        <v>25</v>
      </c>
      <c r="B135" s="40" t="s">
        <v>133</v>
      </c>
      <c r="C135" s="40"/>
      <c r="D135" s="40"/>
      <c r="E135" s="40"/>
      <c r="F135" s="40"/>
      <c r="G135" s="40"/>
      <c r="H135" s="40"/>
      <c r="I135" s="40"/>
      <c r="J135" s="40"/>
      <c r="K135" s="40"/>
      <c r="L135" s="40" t="s">
        <v>99</v>
      </c>
      <c r="M135" s="40" t="s">
        <v>100</v>
      </c>
      <c r="N135" s="40" t="s">
        <v>101</v>
      </c>
      <c r="O135" s="40" t="s">
        <v>102</v>
      </c>
      <c r="P135" s="40" t="s">
        <v>103</v>
      </c>
      <c r="Q135" s="40" t="s">
        <v>104</v>
      </c>
      <c r="R135" s="40" t="s">
        <v>105</v>
      </c>
      <c r="S135" s="40" t="s">
        <v>106</v>
      </c>
      <c r="T135" s="40" t="s">
        <v>107</v>
      </c>
      <c r="U135" s="40" t="s">
        <v>108</v>
      </c>
      <c r="V135" s="40" t="s">
        <v>109</v>
      </c>
      <c r="W135" s="40" t="s">
        <v>110</v>
      </c>
      <c r="X135" s="40" t="s">
        <v>111</v>
      </c>
      <c r="Y135" s="40" t="s">
        <v>112</v>
      </c>
      <c r="Z135" s="40" t="s">
        <v>113</v>
      </c>
      <c r="AA135" s="40" t="s">
        <v>114</v>
      </c>
      <c r="AB135" s="40" t="s">
        <v>115</v>
      </c>
      <c r="AC135" s="40" t="s">
        <v>116</v>
      </c>
      <c r="AD135" s="40" t="s">
        <v>117</v>
      </c>
      <c r="AE135" s="40" t="s">
        <v>118</v>
      </c>
      <c r="AF135" s="40" t="s">
        <v>119</v>
      </c>
      <c r="AG135" s="40" t="s">
        <v>120</v>
      </c>
      <c r="AH135" s="40" t="s">
        <v>121</v>
      </c>
      <c r="AI135" s="40"/>
      <c r="AJ135" s="40" t="s">
        <v>123</v>
      </c>
    </row>
    <row r="136" spans="1:36" ht="15" customHeight="1">
      <c r="A136" s="54"/>
      <c r="B136" s="55" t="s">
        <v>134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6">
        <f t="shared" ref="L136:S137" si="115">L66-L131</f>
        <v>254167.33333333337</v>
      </c>
      <c r="M136" s="56">
        <f t="shared" si="115"/>
        <v>424048.58333333349</v>
      </c>
      <c r="N136" s="56">
        <f t="shared" si="115"/>
        <v>669694.41666666651</v>
      </c>
      <c r="O136" s="56">
        <f t="shared" si="115"/>
        <v>707819.41666666651</v>
      </c>
      <c r="P136" s="56">
        <f t="shared" si="115"/>
        <v>755527.75</v>
      </c>
      <c r="Q136" s="56">
        <f t="shared" si="115"/>
        <v>755527.75</v>
      </c>
      <c r="R136" s="56">
        <f t="shared" si="115"/>
        <v>882652.75</v>
      </c>
      <c r="S136" s="56">
        <f t="shared" si="115"/>
        <v>882652.75</v>
      </c>
      <c r="T136" s="58">
        <f>SUM(L136:S136)</f>
        <v>5332090.75</v>
      </c>
      <c r="U136" s="56">
        <f t="shared" ref="U136:AF136" si="116">U66-U131</f>
        <v>882652.75</v>
      </c>
      <c r="V136" s="56">
        <f t="shared" si="116"/>
        <v>882652.75</v>
      </c>
      <c r="W136" s="56">
        <f t="shared" si="116"/>
        <v>882652.75</v>
      </c>
      <c r="X136" s="56">
        <f t="shared" si="116"/>
        <v>882652.75</v>
      </c>
      <c r="Y136" s="56">
        <f t="shared" si="116"/>
        <v>882652.75</v>
      </c>
      <c r="Z136" s="56">
        <f t="shared" si="116"/>
        <v>882652.75</v>
      </c>
      <c r="AA136" s="56">
        <f t="shared" si="116"/>
        <v>882652.75</v>
      </c>
      <c r="AB136" s="56">
        <f t="shared" si="116"/>
        <v>882652.75</v>
      </c>
      <c r="AC136" s="56">
        <f t="shared" si="116"/>
        <v>882652.75</v>
      </c>
      <c r="AD136" s="56">
        <f t="shared" si="116"/>
        <v>882652.75</v>
      </c>
      <c r="AE136" s="56">
        <f t="shared" si="116"/>
        <v>882652.75</v>
      </c>
      <c r="AF136" s="56">
        <f t="shared" si="116"/>
        <v>882652.75</v>
      </c>
      <c r="AG136" s="58">
        <f>SUM(U136:AF136)</f>
        <v>10591833</v>
      </c>
      <c r="AH136" s="56">
        <f>T136+AG136</f>
        <v>15923923.75</v>
      </c>
      <c r="AI136" s="54"/>
      <c r="AJ136" s="54"/>
    </row>
    <row r="137" spans="1:36" ht="15" customHeight="1">
      <c r="A137" s="54"/>
      <c r="B137" s="55" t="s">
        <v>135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6">
        <f t="shared" si="115"/>
        <v>215365.81666666665</v>
      </c>
      <c r="M137" s="56">
        <f t="shared" si="115"/>
        <v>334857.90000000037</v>
      </c>
      <c r="N137" s="56">
        <f t="shared" si="115"/>
        <v>464901.65000000014</v>
      </c>
      <c r="O137" s="56">
        <f t="shared" si="115"/>
        <v>487776.65000000014</v>
      </c>
      <c r="P137" s="56">
        <f t="shared" si="115"/>
        <v>516401.64999999991</v>
      </c>
      <c r="Q137" s="56">
        <f t="shared" si="115"/>
        <v>516401.64999999991</v>
      </c>
      <c r="R137" s="56">
        <f t="shared" si="115"/>
        <v>592676.64999999991</v>
      </c>
      <c r="S137" s="56">
        <f t="shared" si="115"/>
        <v>592676.64999999991</v>
      </c>
      <c r="T137" s="58">
        <f>SUM(L137:S137)</f>
        <v>3721058.6166666672</v>
      </c>
      <c r="U137" s="56">
        <f t="shared" ref="U137:AF137" si="117">U67-U132</f>
        <v>592676.64999999991</v>
      </c>
      <c r="V137" s="56">
        <f t="shared" si="117"/>
        <v>592676.64999999991</v>
      </c>
      <c r="W137" s="56">
        <f t="shared" si="117"/>
        <v>592676.64999999991</v>
      </c>
      <c r="X137" s="56">
        <f t="shared" si="117"/>
        <v>592676.64999999991</v>
      </c>
      <c r="Y137" s="56">
        <f t="shared" si="117"/>
        <v>592676.64999999991</v>
      </c>
      <c r="Z137" s="56">
        <f t="shared" si="117"/>
        <v>592676.64999999991</v>
      </c>
      <c r="AA137" s="56">
        <f t="shared" si="117"/>
        <v>592676.64999999991</v>
      </c>
      <c r="AB137" s="56">
        <f t="shared" si="117"/>
        <v>592676.64999999991</v>
      </c>
      <c r="AC137" s="56">
        <f t="shared" si="117"/>
        <v>592676.64999999991</v>
      </c>
      <c r="AD137" s="56">
        <f t="shared" si="117"/>
        <v>592676.64999999991</v>
      </c>
      <c r="AE137" s="56">
        <f t="shared" si="117"/>
        <v>592676.64999999991</v>
      </c>
      <c r="AF137" s="56">
        <f t="shared" si="117"/>
        <v>592676.64999999991</v>
      </c>
      <c r="AG137" s="58">
        <f>SUM(U137:AF137)</f>
        <v>7112119.8000000007</v>
      </c>
      <c r="AH137" s="56">
        <f>T137+AG137</f>
        <v>10833178.416666668</v>
      </c>
      <c r="AI137" s="54"/>
      <c r="AJ137" s="54"/>
    </row>
    <row r="138" spans="1:36" ht="21.75" customHeight="1">
      <c r="A138" s="54"/>
      <c r="B138" s="55" t="s">
        <v>136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65">
        <f t="shared" ref="L138:AH138" si="118">IFERROR(L137/L67,0)</f>
        <v>0.25</v>
      </c>
      <c r="M138" s="65">
        <f t="shared" si="118"/>
        <v>0.25000000000000022</v>
      </c>
      <c r="N138" s="65">
        <f t="shared" si="118"/>
        <v>0.25000000000000006</v>
      </c>
      <c r="O138" s="65">
        <f t="shared" si="118"/>
        <v>0.25000000000000006</v>
      </c>
      <c r="P138" s="65">
        <f t="shared" si="118"/>
        <v>0.24999999999999994</v>
      </c>
      <c r="Q138" s="65">
        <f t="shared" si="118"/>
        <v>0.24999999999999994</v>
      </c>
      <c r="R138" s="65">
        <f t="shared" si="118"/>
        <v>0.24999999999999994</v>
      </c>
      <c r="S138" s="65">
        <f t="shared" si="118"/>
        <v>0.24999999999999994</v>
      </c>
      <c r="T138" s="66">
        <f t="shared" si="118"/>
        <v>0.25000000000000006</v>
      </c>
      <c r="U138" s="65">
        <f t="shared" si="118"/>
        <v>0.24999999999999994</v>
      </c>
      <c r="V138" s="65">
        <f t="shared" si="118"/>
        <v>0.24999999999999994</v>
      </c>
      <c r="W138" s="65">
        <f t="shared" si="118"/>
        <v>0.24999999999999994</v>
      </c>
      <c r="X138" s="65">
        <f t="shared" si="118"/>
        <v>0.24999999999999994</v>
      </c>
      <c r="Y138" s="65">
        <f t="shared" si="118"/>
        <v>0.24999999999999994</v>
      </c>
      <c r="Z138" s="65">
        <f t="shared" si="118"/>
        <v>0.24999999999999994</v>
      </c>
      <c r="AA138" s="65">
        <f t="shared" si="118"/>
        <v>0.24999999999999994</v>
      </c>
      <c r="AB138" s="65">
        <f t="shared" si="118"/>
        <v>0.24999999999999994</v>
      </c>
      <c r="AC138" s="65">
        <f t="shared" si="118"/>
        <v>0.24999999999999994</v>
      </c>
      <c r="AD138" s="65">
        <f t="shared" si="118"/>
        <v>0.24999999999999994</v>
      </c>
      <c r="AE138" s="65">
        <f t="shared" si="118"/>
        <v>0.24999999999999994</v>
      </c>
      <c r="AF138" s="65">
        <f t="shared" si="118"/>
        <v>0.24999999999999994</v>
      </c>
      <c r="AG138" s="66">
        <f t="shared" si="118"/>
        <v>0.24999999999999997</v>
      </c>
      <c r="AH138" s="65">
        <f t="shared" si="118"/>
        <v>0.25</v>
      </c>
      <c r="AI138" s="54"/>
      <c r="AJ138" s="54"/>
    </row>
    <row r="139" spans="1:36" ht="15" customHeight="1">
      <c r="A139" s="39"/>
    </row>
    <row r="140" spans="1:36" ht="15" customHeight="1">
      <c r="A140" s="476" t="s">
        <v>137</v>
      </c>
      <c r="B140" s="476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</row>
    <row r="141" spans="1:36" ht="15" customHeight="1">
      <c r="A141" s="54"/>
      <c r="B141" s="55" t="s">
        <v>138</v>
      </c>
      <c r="C141" s="67">
        <v>0</v>
      </c>
      <c r="D141" s="68"/>
      <c r="E141" s="68"/>
      <c r="F141" s="68"/>
      <c r="G141" s="68"/>
      <c r="H141" s="68"/>
      <c r="I141" s="68"/>
      <c r="J141" s="68"/>
      <c r="K141" s="68"/>
      <c r="L141" s="69">
        <f>SUMIFS(L6:L65,D6:D65,"Closed Lost")-SUMIFS(L71:L130,D71:D130,"Closed Lost")</f>
        <v>0</v>
      </c>
      <c r="M141" s="69">
        <f>SUMIFS(M6:M65,D6:D65,"Closed Lost")-SUMIFS(M71:M130,D71:D130,"Closed Lost")</f>
        <v>0</v>
      </c>
      <c r="N141" s="69">
        <f>SUMIFS(N6:N65,D6:D65,"Closed Lost")-SUMIFS(N71:N130,D71:D130,"Closed Lost")</f>
        <v>0</v>
      </c>
      <c r="O141" s="69">
        <f>SUMIFS(O6:O65,D6:D65,"Closed Lost")-SUMIFS(O71:O130,D71:D130,"Closed Lost")</f>
        <v>0</v>
      </c>
      <c r="P141" s="69">
        <f>SUMIFS(P6:P65,D6:D65,"Closed Lost")-SUMIFS(P71:P130,D71:D130,"Closed Lost")</f>
        <v>0</v>
      </c>
      <c r="Q141" s="69">
        <f>SUMIFS(Q6:Q65,D6:D65,"Closed Lost")-SUMIFS(Q71:Q130,D71:D130,"Closed Lost")</f>
        <v>0</v>
      </c>
      <c r="R141" s="69">
        <f>SUMIFS(R6:R65,D6:D65,"Closed Lost")-SUMIFS(R71:R130,D71:D130,"Closed Lost")</f>
        <v>0</v>
      </c>
      <c r="S141" s="69">
        <f>SUMIFS(S6:S65,D6:D65,"Closed Lost")-SUMIFS(S71:S130,D71:D130,"Closed Lost")</f>
        <v>0</v>
      </c>
      <c r="T141" s="69">
        <f t="shared" ref="T141:T147" si="119">SUM(L141:S141)</f>
        <v>0</v>
      </c>
      <c r="U141" s="69">
        <f>SUMIFS(U6:U65,D6:D65,"Closed Lost")-SUMIFS(U71:U130,D71:D130,"Closed Lost")</f>
        <v>0</v>
      </c>
      <c r="V141" s="69">
        <f>SUMIFS(V6:V65,D6:D65,"Closed Lost")-SUMIFS(V71:V130,D71:D130,"Closed Lost")</f>
        <v>0</v>
      </c>
      <c r="W141" s="69">
        <f>SUMIFS(W6:W65,D6:D65,"Closed Lost")-SUMIFS(W71:W130,D71:D130,"Closed Lost")</f>
        <v>0</v>
      </c>
      <c r="X141" s="69">
        <f>SUMIFS(X6:X65,D6:D65,"Closed Lost")-SUMIFS(X71:X130,D71:D130,"Closed Lost")</f>
        <v>0</v>
      </c>
      <c r="Y141" s="69">
        <f>SUMIFS(Y6:Y65,D6:D65,"Closed Lost")-SUMIFS(Y71:Y130,D71:D130,"Closed Lost")</f>
        <v>0</v>
      </c>
      <c r="Z141" s="69">
        <f>SUMIFS(Z6:Z65,D6:D65,"Closed Lost")-SUMIFS(Z71:Z130,D71:D130,"Closed Lost")</f>
        <v>0</v>
      </c>
      <c r="AA141" s="69">
        <f>SUMIFS(AA6:AA65,D6:D65,"Closed Lost")-SUMIFS(AA71:AA130,D71:D130,"Closed Lost")</f>
        <v>0</v>
      </c>
      <c r="AB141" s="69">
        <f>SUMIFS(AB6:AB65,D6:D65,"Closed Lost")-SUMIFS(AB71:AB130,D71:D130,"Closed Lost")</f>
        <v>0</v>
      </c>
      <c r="AC141" s="69">
        <f>SUMIFS(AC6:AC65,D6:D65,"Closed Lost")-SUMIFS(AC71:AC130,D71:D130,"Closed Lost")</f>
        <v>0</v>
      </c>
      <c r="AD141" s="69">
        <f>SUMIFS(AD6:AD65,D6:D65,"Closed Lost")-SUMIFS(AD71:AD130,D71:D130,"Closed Lost")</f>
        <v>0</v>
      </c>
      <c r="AE141" s="69">
        <f>SUMIFS(AE6:AE65,D6:D65,"Closed Lost")-SUMIFS(AE71:AE130,D71:D130,"Closed Lost")</f>
        <v>0</v>
      </c>
      <c r="AF141" s="69">
        <f>SUMIFS(AF6:AF65,D6:D65,"Closed Lost")-SUMIFS(AF71:AF130,D71:D130,"Closed Lost")</f>
        <v>0</v>
      </c>
      <c r="AG141" s="69">
        <f t="shared" ref="AG141:AG147" si="120">SUM(U141:AF141)</f>
        <v>0</v>
      </c>
      <c r="AH141" s="69">
        <f t="shared" ref="AH141:AH147" si="121">T141+AG141</f>
        <v>0</v>
      </c>
      <c r="AI141" s="54"/>
      <c r="AJ141" s="54"/>
    </row>
    <row r="142" spans="1:36" ht="15" customHeight="1">
      <c r="A142" s="54"/>
      <c r="B142" s="55" t="s">
        <v>139</v>
      </c>
      <c r="C142" s="67">
        <v>0.2</v>
      </c>
      <c r="D142" s="68"/>
      <c r="E142" s="68"/>
      <c r="F142" s="68"/>
      <c r="G142" s="68"/>
      <c r="H142" s="68"/>
      <c r="I142" s="68"/>
      <c r="J142" s="68"/>
      <c r="K142" s="68"/>
      <c r="L142" s="69">
        <f>SUMIFS(L6:L65,D6:D65,"Prospecting")-SUMIFS(L71:L130,D71:D130,"Prospecting")</f>
        <v>0</v>
      </c>
      <c r="M142" s="69">
        <f>SUMIFS(M6:M65,D6:D65,"Prospecting")-SUMIFS(M71:M130,D71:D130,"Prospecting")</f>
        <v>0</v>
      </c>
      <c r="N142" s="69">
        <f>SUMIFS(N6:N65,D6:D65,"Prospecting")-SUMIFS(N71:N130,D71:D130,"Prospecting")</f>
        <v>50000</v>
      </c>
      <c r="O142" s="69">
        <f>SUMIFS(O6:O65,D6:D65,"Prospecting")-SUMIFS(O71:O130,D71:D130,"Prospecting")</f>
        <v>50000</v>
      </c>
      <c r="P142" s="69">
        <f>SUMIFS(P6:P65,D6:D65,"Prospecting")-SUMIFS(P71:P130,D71:D130,"Prospecting")</f>
        <v>50000</v>
      </c>
      <c r="Q142" s="69">
        <f>SUMIFS(Q6:Q65,D6:D65,"Prospecting")-SUMIFS(Q71:Q130,D71:D130,"Prospecting")</f>
        <v>50000</v>
      </c>
      <c r="R142" s="69">
        <f>SUMIFS(R6:R65,D6:D65,"Prospecting")-SUMIFS(R71:R130,D71:D130,"Prospecting")</f>
        <v>50000</v>
      </c>
      <c r="S142" s="69">
        <f>SUMIFS(S6:S65,D6:D65,"Prospecting")-SUMIFS(S71:S130,D71:D130,"Prospecting")</f>
        <v>50000</v>
      </c>
      <c r="T142" s="69">
        <f t="shared" si="119"/>
        <v>300000</v>
      </c>
      <c r="U142" s="69">
        <f>SUMIFS(U6:U65,D6:D65,"Prospecting")-SUMIFS(U71:U130,D71:D130,"Prospecting")</f>
        <v>50000</v>
      </c>
      <c r="V142" s="69">
        <f>SUMIFS(V6:V65,D6:D65,"Prospecting")-SUMIFS(V71:V130,D71:D130,"Prospecting")</f>
        <v>50000</v>
      </c>
      <c r="W142" s="69">
        <f>SUMIFS(W6:W65,D6:D65,"Prospecting")-SUMIFS(W71:W130,D71:D130,"Prospecting")</f>
        <v>50000</v>
      </c>
      <c r="X142" s="69">
        <f>SUMIFS(X6:X65,D6:D65,"Prospecting")-SUMIFS(X71:X130,D71:D130,"Prospecting")</f>
        <v>50000</v>
      </c>
      <c r="Y142" s="69">
        <f>SUMIFS(Y6:Y65,D6:D65,"Prospecting")-SUMIFS(Y71:Y130,D71:D130,"Prospecting")</f>
        <v>50000</v>
      </c>
      <c r="Z142" s="69">
        <f>SUMIFS(Z6:Z65,D6:D65,"Prospecting")-SUMIFS(Z71:Z130,D71:D130,"Prospecting")</f>
        <v>50000</v>
      </c>
      <c r="AA142" s="69">
        <f>SUMIFS(AA6:AA65,D6:D65,"Prospecting")-SUMIFS(AA71:AA130,D71:D130,"Prospecting")</f>
        <v>50000</v>
      </c>
      <c r="AB142" s="69">
        <f>SUMIFS(AB6:AB65,D6:D65,"Prospecting")-SUMIFS(AB71:AB130,D71:D130,"Prospecting")</f>
        <v>50000</v>
      </c>
      <c r="AC142" s="69">
        <f>SUMIFS(AC6:AC65,D6:D65,"Prospecting")-SUMIFS(AC71:AC130,D71:D130,"Prospecting")</f>
        <v>50000</v>
      </c>
      <c r="AD142" s="69">
        <f>SUMIFS(AD6:AD65,D6:D65,"Prospecting")-SUMIFS(AD71:AD130,D71:D130,"Prospecting")</f>
        <v>50000</v>
      </c>
      <c r="AE142" s="69">
        <f>SUMIFS(AE6:AE65,D6:D65,"Prospecting")-SUMIFS(AE71:AE130,D71:D130,"Prospecting")</f>
        <v>50000</v>
      </c>
      <c r="AF142" s="69">
        <f>SUMIFS(AF6:AF65,D6:D65,"Prospecting")-SUMIFS(AF71:AF130,D71:D130,"Prospecting")</f>
        <v>50000</v>
      </c>
      <c r="AG142" s="69">
        <f t="shared" si="120"/>
        <v>600000</v>
      </c>
      <c r="AH142" s="69">
        <f t="shared" si="121"/>
        <v>900000</v>
      </c>
      <c r="AI142" s="54"/>
      <c r="AJ142" s="54"/>
    </row>
    <row r="143" spans="1:36" ht="15" customHeight="1">
      <c r="A143" s="54"/>
      <c r="B143" s="55" t="s">
        <v>140</v>
      </c>
      <c r="C143" s="67">
        <v>0.4</v>
      </c>
      <c r="D143" s="68"/>
      <c r="E143" s="68"/>
      <c r="F143" s="68"/>
      <c r="G143" s="68"/>
      <c r="H143" s="68"/>
      <c r="I143" s="68"/>
      <c r="J143" s="68"/>
      <c r="K143" s="68"/>
      <c r="L143" s="69">
        <f>SUMIFS(L6:L65,D6:D65,"Qualified")-SUMIFS(L71:L130,D71:D130,"Qualified")</f>
        <v>0</v>
      </c>
      <c r="M143" s="69">
        <f>SUMIFS(M6:M65,D6:D65,"Qualified")-SUMIFS(M71:M130,D71:D130,"Qualified")</f>
        <v>17708.333333333328</v>
      </c>
      <c r="N143" s="69">
        <f>SUMIFS(N6:N65,D6:D65,"Qualified")-SUMIFS(N71:N130,D71:D130,"Qualified")</f>
        <v>17708.333333333328</v>
      </c>
      <c r="O143" s="69">
        <f>SUMIFS(O6:O65,D6:D65,"Qualified")-SUMIFS(O71:O130,D71:D130,"Qualified")</f>
        <v>17708.333333333328</v>
      </c>
      <c r="P143" s="69">
        <f>SUMIFS(P6:P65,D6:D65,"Qualified")-SUMIFS(P71:P130,D71:D130,"Qualified")</f>
        <v>17708.333333333328</v>
      </c>
      <c r="Q143" s="69">
        <f>SUMIFS(Q6:Q65,D6:D65,"Qualified")-SUMIFS(Q71:Q130,D71:D130,"Qualified")</f>
        <v>17708.333333333328</v>
      </c>
      <c r="R143" s="69">
        <f>SUMIFS(R6:R65,D6:D65,"Qualified")-SUMIFS(R71:R130,D71:D130,"Qualified")</f>
        <v>17708.333333333328</v>
      </c>
      <c r="S143" s="69">
        <f>SUMIFS(S6:S65,D6:D65,"Qualified")-SUMIFS(S71:S130,D71:D130,"Qualified")</f>
        <v>17708.333333333328</v>
      </c>
      <c r="T143" s="69">
        <f t="shared" si="119"/>
        <v>123958.3333333333</v>
      </c>
      <c r="U143" s="69">
        <f>SUMIFS(U6:U65,D6:D65,"Qualified")-SUMIFS(U71:U130,D71:D130,"Qualified")</f>
        <v>17708.333333333328</v>
      </c>
      <c r="V143" s="69">
        <f>SUMIFS(V6:V65,D6:D65,"Qualified")-SUMIFS(V71:V130,D71:D130,"Qualified")</f>
        <v>17708.333333333328</v>
      </c>
      <c r="W143" s="69">
        <f>SUMIFS(W6:W65,D6:D65,"Qualified")-SUMIFS(W71:W130,D71:D130,"Qualified")</f>
        <v>17708.333333333328</v>
      </c>
      <c r="X143" s="69">
        <f>SUMIFS(X6:X65,D6:D65,"Qualified")-SUMIFS(X71:X130,D71:D130,"Qualified")</f>
        <v>17708.333333333328</v>
      </c>
      <c r="Y143" s="69">
        <f>SUMIFS(Y6:Y65,D6:D65,"Qualified")-SUMIFS(Y71:Y130,D71:D130,"Qualified")</f>
        <v>17708.333333333328</v>
      </c>
      <c r="Z143" s="69">
        <f>SUMIFS(Z6:Z65,D6:D65,"Qualified")-SUMIFS(Z71:Z130,D71:D130,"Qualified")</f>
        <v>17708.333333333328</v>
      </c>
      <c r="AA143" s="69">
        <f>SUMIFS(AA6:AA65,D6:D65,"Qualified")-SUMIFS(AA71:AA130,D71:D130,"Qualified")</f>
        <v>17708.333333333328</v>
      </c>
      <c r="AB143" s="69">
        <f>SUMIFS(AB6:AB65,D6:D65,"Qualified")-SUMIFS(AB71:AB130,D71:D130,"Qualified")</f>
        <v>17708.333333333328</v>
      </c>
      <c r="AC143" s="69">
        <f>SUMIFS(AC6:AC65,D6:D65,"Qualified")-SUMIFS(AC71:AC130,D71:D130,"Qualified")</f>
        <v>17708.333333333328</v>
      </c>
      <c r="AD143" s="69">
        <f>SUMIFS(AD6:AD65,D6:D65,"Qualified")-SUMIFS(AD71:AD130,D71:D130,"Qualified")</f>
        <v>17708.333333333328</v>
      </c>
      <c r="AE143" s="69">
        <f>SUMIFS(AE6:AE65,D6:D65,"Qualified")-SUMIFS(AE71:AE130,D71:D130,"Qualified")</f>
        <v>17708.333333333328</v>
      </c>
      <c r="AF143" s="69">
        <f>SUMIFS(AF6:AF65,D6:D65,"Qualified")-SUMIFS(AF71:AF130,D71:D130,"Qualified")</f>
        <v>17708.333333333328</v>
      </c>
      <c r="AG143" s="69">
        <f t="shared" si="120"/>
        <v>212499.99999999988</v>
      </c>
      <c r="AH143" s="69">
        <f t="shared" si="121"/>
        <v>336458.3333333332</v>
      </c>
      <c r="AI143" s="54"/>
      <c r="AJ143" s="54"/>
    </row>
    <row r="144" spans="1:36" ht="15" customHeight="1">
      <c r="A144" s="54"/>
      <c r="B144" s="55" t="s">
        <v>141</v>
      </c>
      <c r="C144" s="67">
        <v>0.6</v>
      </c>
      <c r="D144" s="68"/>
      <c r="E144" s="68"/>
      <c r="F144" s="68"/>
      <c r="G144" s="68"/>
      <c r="H144" s="68"/>
      <c r="I144" s="68"/>
      <c r="J144" s="68"/>
      <c r="K144" s="68"/>
      <c r="L144" s="69">
        <f>SUMIFS(L6:L65,D6:D65,"Proposal Sent")-SUMIFS(L71:L130,D71:D130,"Proposal Sent")</f>
        <v>77238.166666666686</v>
      </c>
      <c r="M144" s="69">
        <f>SUMIFS(M6:M65,D6:D65,"Proposal Sent")-SUMIFS(M71:M130,D71:D130,"Proposal Sent")</f>
        <v>138711.08333333337</v>
      </c>
      <c r="N144" s="69">
        <f>SUMIFS(N6:N65,D6:D65,"Proposal Sent")-SUMIFS(N71:N130,D71:D130,"Proposal Sent")</f>
        <v>316648.58333333349</v>
      </c>
      <c r="O144" s="69">
        <f>SUMIFS(O6:O65,D6:D65,"Proposal Sent")-SUMIFS(O71:O130,D71:D130,"Proposal Sent")</f>
        <v>354773.58333333349</v>
      </c>
      <c r="P144" s="69">
        <f>SUMIFS(P6:P65,D6:D65,"Proposal Sent")-SUMIFS(P71:P130,D71:D130,"Proposal Sent")</f>
        <v>402481.91666666674</v>
      </c>
      <c r="Q144" s="69">
        <f>SUMIFS(Q6:Q65,D6:D65,"Proposal Sent")-SUMIFS(Q71:Q130,D71:D130,"Proposal Sent")</f>
        <v>402481.91666666674</v>
      </c>
      <c r="R144" s="69">
        <f>SUMIFS(R6:R65,D6:D65,"Proposal Sent")-SUMIFS(R71:R130,D71:D130,"Proposal Sent")</f>
        <v>529606.91666666698</v>
      </c>
      <c r="S144" s="69">
        <f>SUMIFS(S6:S65,D6:D65,"Proposal Sent")-SUMIFS(S71:S130,D71:D130,"Proposal Sent")</f>
        <v>529606.91666666698</v>
      </c>
      <c r="T144" s="69">
        <f t="shared" si="119"/>
        <v>2751549.0833333344</v>
      </c>
      <c r="U144" s="69">
        <f>SUMIFS(U6:U65,D6:D65,"Proposal Sent")-SUMIFS(U71:U130,D71:D130,"Proposal Sent")</f>
        <v>529606.91666666698</v>
      </c>
      <c r="V144" s="69">
        <f>SUMIFS(V6:V65,D6:D65,"Proposal Sent")-SUMIFS(V71:V130,D71:D130,"Proposal Sent")</f>
        <v>529606.91666666698</v>
      </c>
      <c r="W144" s="69">
        <f>SUMIFS(W6:W65,D6:D65,"Proposal Sent")-SUMIFS(W71:W130,D71:D130,"Proposal Sent")</f>
        <v>529606.91666666698</v>
      </c>
      <c r="X144" s="69">
        <f>SUMIFS(X6:X65,D6:D65,"Proposal Sent")-SUMIFS(X71:X130,D71:D130,"Proposal Sent")</f>
        <v>529606.91666666698</v>
      </c>
      <c r="Y144" s="69">
        <f>SUMIFS(Y6:Y65,D6:D65,"Proposal Sent")-SUMIFS(Y71:Y130,D71:D130,"Proposal Sent")</f>
        <v>529606.91666666698</v>
      </c>
      <c r="Z144" s="69">
        <f>SUMIFS(Z6:Z65,D6:D65,"Proposal Sent")-SUMIFS(Z71:Z130,D71:D130,"Proposal Sent")</f>
        <v>529606.91666666698</v>
      </c>
      <c r="AA144" s="69">
        <f>SUMIFS(AA6:AA65,D6:D65,"Proposal Sent")-SUMIFS(AA71:AA130,D71:D130,"Proposal Sent")</f>
        <v>529606.91666666698</v>
      </c>
      <c r="AB144" s="69">
        <f>SUMIFS(AB6:AB65,D6:D65,"Proposal Sent")-SUMIFS(AB71:AB130,D71:D130,"Proposal Sent")</f>
        <v>529606.91666666698</v>
      </c>
      <c r="AC144" s="69">
        <f>SUMIFS(AC6:AC65,D6:D65,"Proposal Sent")-SUMIFS(AC71:AC130,D71:D130,"Proposal Sent")</f>
        <v>529606.91666666698</v>
      </c>
      <c r="AD144" s="69">
        <f>SUMIFS(AD6:AD65,D6:D65,"Proposal Sent")-SUMIFS(AD71:AD130,D71:D130,"Proposal Sent")</f>
        <v>529606.91666666698</v>
      </c>
      <c r="AE144" s="69">
        <f>SUMIFS(AE6:AE65,D6:D65,"Proposal Sent")-SUMIFS(AE71:AE130,D71:D130,"Proposal Sent")</f>
        <v>529606.91666666698</v>
      </c>
      <c r="AF144" s="69">
        <f>SUMIFS(AF6:AF65,D6:D65,"Proposal Sent")-SUMIFS(AF71:AF130,D71:D130,"Proposal Sent")</f>
        <v>529606.91666666698</v>
      </c>
      <c r="AG144" s="69">
        <f t="shared" si="120"/>
        <v>6355283.0000000037</v>
      </c>
      <c r="AH144" s="69">
        <f t="shared" si="121"/>
        <v>9106832.0833333377</v>
      </c>
      <c r="AI144" s="54"/>
      <c r="AJ144" s="54"/>
    </row>
    <row r="145" spans="1:36" ht="15" customHeight="1">
      <c r="A145" s="54"/>
      <c r="B145" s="55" t="s">
        <v>142</v>
      </c>
      <c r="C145" s="70">
        <v>0.75</v>
      </c>
      <c r="D145" s="71"/>
      <c r="E145" s="71"/>
      <c r="F145" s="71"/>
      <c r="G145" s="71"/>
      <c r="H145" s="71"/>
      <c r="I145" s="71"/>
      <c r="J145" s="71"/>
      <c r="K145" s="71"/>
      <c r="L145" s="72">
        <f>SUMIFS(L6:L65,D6:D65,"Shortlisted")-SUMIFS(L71:L130,D71:D130,"Shortlisted")</f>
        <v>15125</v>
      </c>
      <c r="M145" s="72">
        <f>SUMIFS(M6:M65,D6:D65,"Shortlisted")-SUMIFS(M71:M130,D71:D130,"Shortlisted")</f>
        <v>55825</v>
      </c>
      <c r="N145" s="72">
        <f>SUMIFS(N6:N65,D6:D65,"Shortlisted")-SUMIFS(N71:N130,D71:D130,"Shortlisted")</f>
        <v>73533.333333333314</v>
      </c>
      <c r="O145" s="72">
        <f>SUMIFS(O6:O65,D6:D65,"Shortlisted")-SUMIFS(O71:O130,D71:D130,"Shortlisted")</f>
        <v>73533.333333333314</v>
      </c>
      <c r="P145" s="72">
        <f>SUMIFS(P6:P65,D6:D65,"Shortlisted")-SUMIFS(P71:P130,D71:D130,"Shortlisted")</f>
        <v>73533.333333333314</v>
      </c>
      <c r="Q145" s="72">
        <f>SUMIFS(Q6:Q65,D6:D65,"Shortlisted")-SUMIFS(Q71:Q130,D71:D130,"Shortlisted")</f>
        <v>73533.333333333314</v>
      </c>
      <c r="R145" s="72">
        <f>SUMIFS(R6:R65,D6:D65,"Shortlisted")-SUMIFS(R71:R130,D71:D130,"Shortlisted")</f>
        <v>73533.333333333314</v>
      </c>
      <c r="S145" s="72">
        <f>SUMIFS(S6:S65,D6:D65,"Shortlisted")-SUMIFS(S71:S130,D71:D130,"Shortlisted")</f>
        <v>73533.333333333314</v>
      </c>
      <c r="T145" s="72">
        <f t="shared" si="119"/>
        <v>512149.99999999988</v>
      </c>
      <c r="U145" s="72">
        <f>SUMIFS(U6:U65,D6:D65,"Shortlisted")-SUMIFS(U71:U130,D71:D130,"Shortlisted")</f>
        <v>73533.333333333314</v>
      </c>
      <c r="V145" s="72">
        <f>SUMIFS(V6:V65,D6:D65,"Shortlisted")-SUMIFS(V71:V130,D71:D130,"Shortlisted")</f>
        <v>73533.333333333314</v>
      </c>
      <c r="W145" s="72">
        <f>SUMIFS(W6:W65,D6:D65,"Shortlisted")-SUMIFS(W71:W130,D71:D130,"Shortlisted")</f>
        <v>73533.333333333314</v>
      </c>
      <c r="X145" s="72">
        <f>SUMIFS(X6:X65,D6:D65,"Shortlisted")-SUMIFS(X71:X130,D71:D130,"Shortlisted")</f>
        <v>73533.333333333314</v>
      </c>
      <c r="Y145" s="72">
        <f>SUMIFS(Y6:Y65,D6:D65,"Shortlisted")-SUMIFS(Y71:Y130,D71:D130,"Shortlisted")</f>
        <v>73533.333333333314</v>
      </c>
      <c r="Z145" s="72">
        <f>SUMIFS(Z6:Z65,D6:D65,"Shortlisted")-SUMIFS(Z71:Z130,D71:D130,"Shortlisted")</f>
        <v>73533.333333333314</v>
      </c>
      <c r="AA145" s="72">
        <f>SUMIFS(AA6:AA65,D6:D65,"Shortlisted")-SUMIFS(AA71:AA130,D71:D130,"Shortlisted")</f>
        <v>73533.333333333314</v>
      </c>
      <c r="AB145" s="72">
        <f>SUMIFS(AB6:AB65,D6:D65,"Shortlisted")-SUMIFS(AB71:AB130,D71:D130,"Shortlisted")</f>
        <v>73533.333333333314</v>
      </c>
      <c r="AC145" s="72">
        <f>SUMIFS(AC6:AC65,D6:D65,"Shortlisted")-SUMIFS(AC71:AC130,D71:D130,"Shortlisted")</f>
        <v>73533.333333333314</v>
      </c>
      <c r="AD145" s="72">
        <f>SUMIFS(AD6:AD65,D6:D65,"Shortlisted")-SUMIFS(AD71:AD130,D71:D130,"Shortlisted")</f>
        <v>73533.333333333314</v>
      </c>
      <c r="AE145" s="72">
        <f>SUMIFS(AE6:AE65,D6:D65,"Shortlisted")-SUMIFS(AE71:AE130,D71:D130,"Shortlisted")</f>
        <v>73533.333333333314</v>
      </c>
      <c r="AF145" s="72">
        <f>SUMIFS(AF6:AF65,D6:D65,"Shortlisted")-SUMIFS(AF71:AF130,D71:D130,"Shortlisted")</f>
        <v>73533.333333333314</v>
      </c>
      <c r="AG145" s="72">
        <f t="shared" si="120"/>
        <v>882399.99999999953</v>
      </c>
      <c r="AH145" s="72">
        <f t="shared" si="121"/>
        <v>1394549.9999999995</v>
      </c>
      <c r="AI145" s="54"/>
      <c r="AJ145" s="54"/>
    </row>
    <row r="146" spans="1:36" ht="15" customHeight="1">
      <c r="A146" s="54"/>
      <c r="B146" s="55" t="s">
        <v>143</v>
      </c>
      <c r="C146" s="70">
        <v>0.9</v>
      </c>
      <c r="D146" s="71"/>
      <c r="E146" s="71"/>
      <c r="F146" s="71"/>
      <c r="G146" s="71"/>
      <c r="H146" s="71"/>
      <c r="I146" s="71"/>
      <c r="J146" s="71"/>
      <c r="K146" s="71"/>
      <c r="L146" s="72">
        <f>SUMIFS(L6:L65,D6:D65,"Contract Negotiation")-SUMIFS(L71:L130,D71:D130,"Contract Negotiation")</f>
        <v>41250</v>
      </c>
      <c r="M146" s="72">
        <f>SUMIFS(M6:M65,D6:D65,"Contract Negotiation")-SUMIFS(M71:M130,D71:D130,"Contract Negotiation")</f>
        <v>91250</v>
      </c>
      <c r="N146" s="72">
        <f>SUMIFS(N6:N65,D6:D65,"Contract Negotiation")-SUMIFS(N71:N130,D71:D130,"Contract Negotiation")</f>
        <v>91250</v>
      </c>
      <c r="O146" s="72">
        <f>SUMIFS(O6:O65,D6:D65,"Contract Negotiation")-SUMIFS(O71:O130,D71:D130,"Contract Negotiation")</f>
        <v>91250</v>
      </c>
      <c r="P146" s="72">
        <f>SUMIFS(P6:P65,D6:D65,"Contract Negotiation")-SUMIFS(P71:P130,D71:D130,"Contract Negotiation")</f>
        <v>91250</v>
      </c>
      <c r="Q146" s="72">
        <f>SUMIFS(Q6:Q65,D6:D65,"Contract Negotiation")-SUMIFS(Q71:Q130,D71:D130,"Contract Negotiation")</f>
        <v>91250</v>
      </c>
      <c r="R146" s="72">
        <f>SUMIFS(R6:R65,D6:D65,"Contract Negotiation")-SUMIFS(R71:R130,D71:D130,"Contract Negotiation")</f>
        <v>91250</v>
      </c>
      <c r="S146" s="72">
        <f>SUMIFS(S6:S65,D6:D65,"Contract Negotiation")-SUMIFS(S71:S130,D71:D130,"Contract Negotiation")</f>
        <v>91250</v>
      </c>
      <c r="T146" s="72">
        <f t="shared" si="119"/>
        <v>680000</v>
      </c>
      <c r="U146" s="72">
        <f>SUMIFS(U6:U65,D6:D65,"Contract Negotiation")-SUMIFS(U71:U130,D71:D130,"Contract Negotiation")</f>
        <v>91250</v>
      </c>
      <c r="V146" s="72">
        <f>SUMIFS(V6:V65,D6:D65,"Contract Negotiation")-SUMIFS(V71:V130,D71:D130,"Contract Negotiation")</f>
        <v>91250</v>
      </c>
      <c r="W146" s="72">
        <f>SUMIFS(W6:W65,D6:D65,"Contract Negotiation")-SUMIFS(W71:W130,D71:D130,"Contract Negotiation")</f>
        <v>91250</v>
      </c>
      <c r="X146" s="72">
        <f>SUMIFS(X6:X65,D6:D65,"Contract Negotiation")-SUMIFS(X71:X130,D71:D130,"Contract Negotiation")</f>
        <v>91250</v>
      </c>
      <c r="Y146" s="72">
        <f>SUMIFS(Y6:Y65,D6:D65,"Contract Negotiation")-SUMIFS(Y71:Y130,D71:D130,"Contract Negotiation")</f>
        <v>91250</v>
      </c>
      <c r="Z146" s="72">
        <f>SUMIFS(Z6:Z65,D6:D65,"Contract Negotiation")-SUMIFS(Z71:Z130,D71:D130,"Contract Negotiation")</f>
        <v>91250</v>
      </c>
      <c r="AA146" s="72">
        <f>SUMIFS(AA6:AA65,D6:D65,"Contract Negotiation")-SUMIFS(AA71:AA130,D71:D130,"Contract Negotiation")</f>
        <v>91250</v>
      </c>
      <c r="AB146" s="72">
        <f>SUMIFS(AB6:AB65,D6:D65,"Contract Negotiation")-SUMIFS(AB71:AB130,D71:D130,"Contract Negotiation")</f>
        <v>91250</v>
      </c>
      <c r="AC146" s="72">
        <f>SUMIFS(AC6:AC65,D6:D65,"Contract Negotiation")-SUMIFS(AC71:AC130,D71:D130,"Contract Negotiation")</f>
        <v>91250</v>
      </c>
      <c r="AD146" s="72">
        <f>SUMIFS(AD6:AD65,D6:D65,"Contract Negotiation")-SUMIFS(AD71:AD130,D71:D130,"Contract Negotiation")</f>
        <v>91250</v>
      </c>
      <c r="AE146" s="72">
        <f>SUMIFS(AE6:AE65,D6:D65,"Contract Negotiation")-SUMIFS(AE71:AE130,D71:D130,"Contract Negotiation")</f>
        <v>91250</v>
      </c>
      <c r="AF146" s="72">
        <f>SUMIFS(AF6:AF65,D6:D65,"Contract Negotiation")-SUMIFS(AF71:AF130,D71:D130,"Contract Negotiation")</f>
        <v>91250</v>
      </c>
      <c r="AG146" s="72">
        <f t="shared" si="120"/>
        <v>1095000</v>
      </c>
      <c r="AH146" s="72">
        <f t="shared" si="121"/>
        <v>1775000</v>
      </c>
      <c r="AI146" s="54"/>
      <c r="AJ146" s="54"/>
    </row>
    <row r="147" spans="1:36" ht="15" customHeight="1">
      <c r="A147" s="54"/>
      <c r="B147" s="55" t="s">
        <v>144</v>
      </c>
      <c r="C147" s="70">
        <v>1</v>
      </c>
      <c r="D147" s="71"/>
      <c r="E147" s="71"/>
      <c r="F147" s="71"/>
      <c r="G147" s="71"/>
      <c r="H147" s="71"/>
      <c r="I147" s="71"/>
      <c r="J147" s="71"/>
      <c r="K147" s="71"/>
      <c r="L147" s="72">
        <f>SUMIFS(L6:L65,D6:D65,"Closed Won")-SUMIFS(L71:L130,D71:D130,"Closed Won")</f>
        <v>120554.16666666669</v>
      </c>
      <c r="M147" s="72">
        <f>SUMIFS(M6:M65,D6:D65,"Closed Won")-SUMIFS(M71:M130,D71:D130,"Closed Won")</f>
        <v>120554.16666666669</v>
      </c>
      <c r="N147" s="72">
        <f>SUMIFS(N6:N65,D6:D65,"Closed Won")-SUMIFS(N71:N130,D71:D130,"Closed Won")</f>
        <v>120554.16666666669</v>
      </c>
      <c r="O147" s="72">
        <f>SUMIFS(O6:O65,D6:D65,"Closed Won")-SUMIFS(O71:O130,D71:D130,"Closed Won")</f>
        <v>120554.16666666669</v>
      </c>
      <c r="P147" s="72">
        <f>SUMIFS(P6:P65,D6:D65,"Closed Won")-SUMIFS(P71:P130,D71:D130,"Closed Won")</f>
        <v>120554.16666666669</v>
      </c>
      <c r="Q147" s="72">
        <f>SUMIFS(Q6:Q65,D6:D65,"Closed Won")-SUMIFS(Q71:Q130,D71:D130,"Closed Won")</f>
        <v>120554.16666666669</v>
      </c>
      <c r="R147" s="72">
        <f>SUMIFS(R6:R65,D6:D65,"Closed Won")-SUMIFS(R71:R130,D71:D130,"Closed Won")</f>
        <v>120554.16666666669</v>
      </c>
      <c r="S147" s="72">
        <f>SUMIFS(S6:S65,D6:D65,"Closed Won")-SUMIFS(S71:S130,D71:D130,"Closed Won")</f>
        <v>120554.16666666669</v>
      </c>
      <c r="T147" s="72">
        <f t="shared" si="119"/>
        <v>964433.33333333372</v>
      </c>
      <c r="U147" s="72">
        <f>SUMIFS(U6:U65,D6:D65,"Closed Won")-SUMIFS(U71:U130,D71:D130,"Closed Won")</f>
        <v>120554.16666666669</v>
      </c>
      <c r="V147" s="72">
        <f>SUMIFS(V6:V65,D6:D65,"Closed Won")-SUMIFS(V71:V130,D71:D130,"Closed Won")</f>
        <v>120554.16666666669</v>
      </c>
      <c r="W147" s="72">
        <f>SUMIFS(W6:W65,D6:D65,"Closed Won")-SUMIFS(W71:W130,D71:D130,"Closed Won")</f>
        <v>120554.16666666669</v>
      </c>
      <c r="X147" s="72">
        <f>SUMIFS(X6:X65,D6:D65,"Closed Won")-SUMIFS(X71:X130,D71:D130,"Closed Won")</f>
        <v>120554.16666666669</v>
      </c>
      <c r="Y147" s="72">
        <f>SUMIFS(Y6:Y65,D6:D65,"Closed Won")-SUMIFS(Y71:Y130,D71:D130,"Closed Won")</f>
        <v>120554.16666666669</v>
      </c>
      <c r="Z147" s="72">
        <f>SUMIFS(Z6:Z65,D6:D65,"Closed Won")-SUMIFS(Z71:Z130,D71:D130,"Closed Won")</f>
        <v>120554.16666666669</v>
      </c>
      <c r="AA147" s="72">
        <f>SUMIFS(AA6:AA65,D6:D65,"Closed Won")-SUMIFS(AA71:AA130,D71:D130,"Closed Won")</f>
        <v>120554.16666666669</v>
      </c>
      <c r="AB147" s="72">
        <f>SUMIFS(AB6:AB65,D6:D65,"Closed Won")-SUMIFS(AB71:AB130,D71:D130,"Closed Won")</f>
        <v>120554.16666666669</v>
      </c>
      <c r="AC147" s="72">
        <f>SUMIFS(AC6:AC65,D6:D65,"Closed Won")-SUMIFS(AC71:AC130,D71:D130,"Closed Won")</f>
        <v>120554.16666666669</v>
      </c>
      <c r="AD147" s="72">
        <f>SUMIFS(AD6:AD65,D6:D65,"Closed Won")-SUMIFS(AD71:AD130,D71:D130,"Closed Won")</f>
        <v>120554.16666666669</v>
      </c>
      <c r="AE147" s="72">
        <f>SUMIFS(AE6:AE65,D6:D65,"Closed Won")-SUMIFS(AE71:AE130,D71:D130,"Closed Won")</f>
        <v>120554.16666666669</v>
      </c>
      <c r="AF147" s="72">
        <f>SUMIFS(AF6:AF65,D6:D65,"Closed Won")-SUMIFS(AF71:AF130,D71:D130,"Closed Won")</f>
        <v>120554.16666666669</v>
      </c>
      <c r="AG147" s="72">
        <f t="shared" si="120"/>
        <v>1446650.0000000007</v>
      </c>
      <c r="AH147" s="72">
        <f t="shared" si="121"/>
        <v>2411083.3333333344</v>
      </c>
      <c r="AI147" s="54"/>
      <c r="AJ147" s="54"/>
    </row>
    <row r="148" spans="1:36" ht="15" customHeight="1">
      <c r="A148" s="43"/>
      <c r="B148" s="73"/>
      <c r="C148" s="74"/>
      <c r="D148" s="74"/>
      <c r="E148" s="75"/>
      <c r="F148" s="74"/>
      <c r="G148" s="75"/>
      <c r="H148" s="74"/>
      <c r="I148" s="75"/>
      <c r="J148" s="74"/>
      <c r="K148" s="76"/>
      <c r="L148" s="74"/>
      <c r="M148" s="74"/>
      <c r="N148" s="74"/>
      <c r="O148" s="74"/>
      <c r="P148" s="74"/>
      <c r="Q148" s="74"/>
      <c r="R148" s="74"/>
      <c r="S148" s="74"/>
      <c r="T148" s="77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7"/>
      <c r="AH148" s="78"/>
      <c r="AI148" s="76"/>
      <c r="AJ148" s="76"/>
    </row>
    <row r="149" spans="1:36" ht="15" customHeight="1">
      <c r="A149" s="476" t="s">
        <v>145</v>
      </c>
      <c r="B149" s="476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</row>
    <row r="150" spans="1:36" ht="15" customHeight="1">
      <c r="A150" s="54"/>
      <c r="B150" s="55" t="s">
        <v>146</v>
      </c>
      <c r="C150" s="67">
        <v>0</v>
      </c>
      <c r="D150" s="68"/>
      <c r="E150" s="68"/>
      <c r="F150" s="68"/>
      <c r="G150" s="68"/>
      <c r="H150" s="68"/>
      <c r="I150" s="68"/>
      <c r="J150" s="68"/>
      <c r="K150" s="68"/>
      <c r="L150" s="69">
        <f>SUMIFS(L6:L65,D6:D65,"Closed Lost")</f>
        <v>0</v>
      </c>
      <c r="M150" s="69">
        <f>SUMIFS(M6:M65,D6:D65,"Closed Lost")</f>
        <v>0</v>
      </c>
      <c r="N150" s="69">
        <f>SUMIFS(N6:N65,D6:D65,"Closed Lost")</f>
        <v>0</v>
      </c>
      <c r="O150" s="69">
        <f>SUMIFS(O6:O65,D6:D65,"Closed Lost")</f>
        <v>0</v>
      </c>
      <c r="P150" s="69">
        <f>SUMIFS(P6:P65,D6:D65,"Closed Lost")</f>
        <v>0</v>
      </c>
      <c r="Q150" s="69">
        <f>SUMIFS(Q6:Q65,D6:D65,"Closed Lost")</f>
        <v>0</v>
      </c>
      <c r="R150" s="69">
        <f>SUMIFS(R6:R65,D6:D65,"Closed Lost")</f>
        <v>0</v>
      </c>
      <c r="S150" s="69">
        <f>SUMIFS(S6:S65,D6:D65,"Closed Lost")</f>
        <v>0</v>
      </c>
      <c r="T150" s="69">
        <f t="shared" ref="T150:T156" si="122">SUM(L150:S150)</f>
        <v>0</v>
      </c>
      <c r="U150" s="69">
        <f>SUMIFS(U6:U65,D6:D65,"Closed Lost")</f>
        <v>0</v>
      </c>
      <c r="V150" s="69">
        <f>SUMIFS(V6:V65,D6:D65,"Closed Lost")</f>
        <v>0</v>
      </c>
      <c r="W150" s="69">
        <f>SUMIFS(W6:W65,D6:D65,"Closed Lost")</f>
        <v>0</v>
      </c>
      <c r="X150" s="69">
        <f>SUMIFS(X6:X65,D6:D65,"Closed Lost")</f>
        <v>0</v>
      </c>
      <c r="Y150" s="69">
        <f>SUMIFS(Y6:Y65,D6:D65,"Closed Lost")</f>
        <v>0</v>
      </c>
      <c r="Z150" s="69">
        <f>SUMIFS(Z6:Z65,D6:D65,"Closed Lost")</f>
        <v>0</v>
      </c>
      <c r="AA150" s="69">
        <f>SUMIFS(AA6:AA65,D6:D65,"Closed Lost")</f>
        <v>0</v>
      </c>
      <c r="AB150" s="69">
        <f>SUMIFS(AB6:AB65,D6:D65,"Closed Lost")</f>
        <v>0</v>
      </c>
      <c r="AC150" s="69">
        <f>SUMIFS(AC6:AC65,D6:D65,"Closed Lost")</f>
        <v>0</v>
      </c>
      <c r="AD150" s="69">
        <f>SUMIFS(AD6:AD65,D6:D65,"Closed Lost")</f>
        <v>0</v>
      </c>
      <c r="AE150" s="69">
        <f>SUMIFS(AE6:AE65,D6:D65,"Closed Lost")</f>
        <v>0</v>
      </c>
      <c r="AF150" s="69">
        <f>SUMIFS(AF6:AF65,D6:D65,"Closed Lost")</f>
        <v>0</v>
      </c>
      <c r="AG150" s="69">
        <f t="shared" ref="AG150:AG156" si="123">SUM(U150:AF150)</f>
        <v>0</v>
      </c>
      <c r="AH150" s="69">
        <f t="shared" ref="AH150:AH156" si="124">T150+AG150</f>
        <v>0</v>
      </c>
      <c r="AI150" s="54"/>
      <c r="AJ150" s="54"/>
    </row>
    <row r="151" spans="1:36" ht="15" customHeight="1">
      <c r="A151" s="54"/>
      <c r="B151" s="55" t="s">
        <v>147</v>
      </c>
      <c r="C151" s="67">
        <v>0.2</v>
      </c>
      <c r="D151" s="68"/>
      <c r="E151" s="68"/>
      <c r="F151" s="68"/>
      <c r="G151" s="68"/>
      <c r="H151" s="68"/>
      <c r="I151" s="68"/>
      <c r="J151" s="68"/>
      <c r="K151" s="68"/>
      <c r="L151" s="69">
        <f>SUMIFS(L6:L65,D6:D65,"Prospecting")</f>
        <v>0</v>
      </c>
      <c r="M151" s="69">
        <f>SUMIFS(M6:M65,D6:D65,"Prospecting")</f>
        <v>0</v>
      </c>
      <c r="N151" s="69">
        <f>SUMIFS(N6:N65,D6:D65,"Prospecting")</f>
        <v>200000</v>
      </c>
      <c r="O151" s="69">
        <f>SUMIFS(O6:O65,D6:D65,"Prospecting")</f>
        <v>200000</v>
      </c>
      <c r="P151" s="69">
        <f>SUMIFS(P6:P65,D6:D65,"Prospecting")</f>
        <v>200000</v>
      </c>
      <c r="Q151" s="69">
        <f>SUMIFS(Q6:Q65,D6:D65,"Prospecting")</f>
        <v>200000</v>
      </c>
      <c r="R151" s="69">
        <f>SUMIFS(R6:R65,D6:D65,"Prospecting")</f>
        <v>200000</v>
      </c>
      <c r="S151" s="69">
        <f>SUMIFS(S6:S65,D6:D65,"Prospecting")</f>
        <v>200000</v>
      </c>
      <c r="T151" s="69">
        <f t="shared" si="122"/>
        <v>1200000</v>
      </c>
      <c r="U151" s="69">
        <f>SUMIFS(U6:U65,D6:D65,"Prospecting")</f>
        <v>200000</v>
      </c>
      <c r="V151" s="69">
        <f>SUMIFS(V6:V65,D6:D65,"Prospecting")</f>
        <v>200000</v>
      </c>
      <c r="W151" s="69">
        <f>SUMIFS(W6:W65,D6:D65,"Prospecting")</f>
        <v>200000</v>
      </c>
      <c r="X151" s="69">
        <f>SUMIFS(X6:X65,D6:D65,"Prospecting")</f>
        <v>200000</v>
      </c>
      <c r="Y151" s="69">
        <f>SUMIFS(Y6:Y65,D6:D65,"Prospecting")</f>
        <v>200000</v>
      </c>
      <c r="Z151" s="69">
        <f>SUMIFS(Z6:Z65,D6:D65,"Prospecting")</f>
        <v>200000</v>
      </c>
      <c r="AA151" s="69">
        <f>SUMIFS(AA6:AA65,D6:D65,"Prospecting")</f>
        <v>200000</v>
      </c>
      <c r="AB151" s="69">
        <f>SUMIFS(AB6:AB65,D6:D65,"Prospecting")</f>
        <v>200000</v>
      </c>
      <c r="AC151" s="69">
        <f>SUMIFS(AC6:AC65,D6:D65,"Prospecting")</f>
        <v>200000</v>
      </c>
      <c r="AD151" s="69">
        <f>SUMIFS(AD6:AD65,D6:D65,"Prospecting")</f>
        <v>200000</v>
      </c>
      <c r="AE151" s="69">
        <f>SUMIFS(AE6:AE65,D6:D65,"Prospecting")</f>
        <v>200000</v>
      </c>
      <c r="AF151" s="69">
        <f>SUMIFS(AF6:AF65,D6:D65,"Prospecting")</f>
        <v>200000</v>
      </c>
      <c r="AG151" s="69">
        <f t="shared" si="123"/>
        <v>2400000</v>
      </c>
      <c r="AH151" s="69">
        <f t="shared" si="124"/>
        <v>3600000</v>
      </c>
      <c r="AI151" s="54"/>
      <c r="AJ151" s="54"/>
    </row>
    <row r="152" spans="1:36" ht="15" customHeight="1">
      <c r="A152" s="54"/>
      <c r="B152" s="55" t="s">
        <v>148</v>
      </c>
      <c r="C152" s="67">
        <v>0.4</v>
      </c>
      <c r="D152" s="68"/>
      <c r="E152" s="68"/>
      <c r="F152" s="68"/>
      <c r="G152" s="68"/>
      <c r="H152" s="68"/>
      <c r="I152" s="68"/>
      <c r="J152" s="68"/>
      <c r="K152" s="68"/>
      <c r="L152" s="69">
        <f>SUMIFS(L6:L65,D6:D65,"Qualified")</f>
        <v>0</v>
      </c>
      <c r="M152" s="69">
        <f>SUMIFS(M6:M65,D6:D65,"Qualified")</f>
        <v>70833.333333333328</v>
      </c>
      <c r="N152" s="69">
        <f>SUMIFS(N6:N65,D6:D65,"Qualified")</f>
        <v>70833.333333333328</v>
      </c>
      <c r="O152" s="69">
        <f>SUMIFS(O6:O65,D6:D65,"Qualified")</f>
        <v>70833.333333333328</v>
      </c>
      <c r="P152" s="69">
        <f>SUMIFS(P6:P65,D6:D65,"Qualified")</f>
        <v>70833.333333333328</v>
      </c>
      <c r="Q152" s="69">
        <f>SUMIFS(Q6:Q65,D6:D65,"Qualified")</f>
        <v>70833.333333333328</v>
      </c>
      <c r="R152" s="69">
        <f>SUMIFS(R6:R65,D6:D65,"Qualified")</f>
        <v>70833.333333333328</v>
      </c>
      <c r="S152" s="69">
        <f>SUMIFS(S6:S65,D6:D65,"Qualified")</f>
        <v>70833.333333333328</v>
      </c>
      <c r="T152" s="69">
        <f t="shared" si="122"/>
        <v>495833.33333333326</v>
      </c>
      <c r="U152" s="69">
        <f>SUMIFS(U6:U65,D6:D65,"Qualified")</f>
        <v>70833.333333333328</v>
      </c>
      <c r="V152" s="69">
        <f>SUMIFS(V6:V65,D6:D65,"Qualified")</f>
        <v>70833.333333333328</v>
      </c>
      <c r="W152" s="69">
        <f>SUMIFS(W6:W65,D6:D65,"Qualified")</f>
        <v>70833.333333333328</v>
      </c>
      <c r="X152" s="69">
        <f>SUMIFS(X6:X65,D6:D65,"Qualified")</f>
        <v>70833.333333333328</v>
      </c>
      <c r="Y152" s="69">
        <f>SUMIFS(Y6:Y65,D6:D65,"Qualified")</f>
        <v>70833.333333333328</v>
      </c>
      <c r="Z152" s="69">
        <f>SUMIFS(Z6:Z65,D6:D65,"Qualified")</f>
        <v>70833.333333333328</v>
      </c>
      <c r="AA152" s="69">
        <f>SUMIFS(AA6:AA65,D6:D65,"Qualified")</f>
        <v>70833.333333333328</v>
      </c>
      <c r="AB152" s="69">
        <f>SUMIFS(AB6:AB65,D6:D65,"Qualified")</f>
        <v>70833.333333333328</v>
      </c>
      <c r="AC152" s="69">
        <f>SUMIFS(AC6:AC65,D6:D65,"Qualified")</f>
        <v>70833.333333333328</v>
      </c>
      <c r="AD152" s="69">
        <f>SUMIFS(AD6:AD65,D6:D65,"Qualified")</f>
        <v>70833.333333333328</v>
      </c>
      <c r="AE152" s="69">
        <f>SUMIFS(AE6:AE65,D6:D65,"Qualified")</f>
        <v>70833.333333333328</v>
      </c>
      <c r="AF152" s="69">
        <f>SUMIFS(AF6:AF65,D6:D65,"Qualified")</f>
        <v>70833.333333333328</v>
      </c>
      <c r="AG152" s="69">
        <f t="shared" si="123"/>
        <v>850000.00000000012</v>
      </c>
      <c r="AH152" s="69">
        <f t="shared" si="124"/>
        <v>1345833.3333333335</v>
      </c>
      <c r="AI152" s="54"/>
      <c r="AJ152" s="54"/>
    </row>
    <row r="153" spans="1:36" ht="15" customHeight="1">
      <c r="A153" s="54"/>
      <c r="B153" s="55" t="s">
        <v>149</v>
      </c>
      <c r="C153" s="67">
        <v>0.6</v>
      </c>
      <c r="D153" s="68"/>
      <c r="E153" s="68"/>
      <c r="F153" s="68"/>
      <c r="G153" s="68"/>
      <c r="H153" s="68"/>
      <c r="I153" s="68"/>
      <c r="J153" s="68"/>
      <c r="K153" s="68"/>
      <c r="L153" s="69">
        <f>SUMIFS(L6:L65,D6:D65,"Proposal Sent")</f>
        <v>308952.66666666669</v>
      </c>
      <c r="M153" s="69">
        <f>SUMIFS(M6:M65,D6:D65,"Proposal Sent")</f>
        <v>554844.33333333337</v>
      </c>
      <c r="N153" s="69">
        <f>SUMIFS(N6:N65,D6:D65,"Proposal Sent")</f>
        <v>1266594.3333333335</v>
      </c>
      <c r="O153" s="69">
        <f>SUMIFS(O6:O65,D6:D65,"Proposal Sent")</f>
        <v>1419094.3333333335</v>
      </c>
      <c r="P153" s="69">
        <f>SUMIFS(P6:P65,D6:D65,"Proposal Sent")</f>
        <v>1609927.6666666667</v>
      </c>
      <c r="Q153" s="69">
        <f>SUMIFS(Q6:Q65,D6:D65,"Proposal Sent")</f>
        <v>1609927.6666666667</v>
      </c>
      <c r="R153" s="69">
        <f>SUMIFS(R6:R65,D6:D65,"Proposal Sent")</f>
        <v>2118427.666666667</v>
      </c>
      <c r="S153" s="69">
        <f>SUMIFS(S6:S65,D6:D65,"Proposal Sent")</f>
        <v>2118427.666666667</v>
      </c>
      <c r="T153" s="69">
        <f t="shared" si="122"/>
        <v>11006196.333333336</v>
      </c>
      <c r="U153" s="69">
        <f>SUMIFS(U6:U65,D6:D65,"Proposal Sent")</f>
        <v>2118427.666666667</v>
      </c>
      <c r="V153" s="69">
        <f>SUMIFS(V6:V65,D6:D65,"Proposal Sent")</f>
        <v>2118427.666666667</v>
      </c>
      <c r="W153" s="69">
        <f>SUMIFS(W6:W65,D6:D65,"Proposal Sent")</f>
        <v>2118427.666666667</v>
      </c>
      <c r="X153" s="69">
        <f>SUMIFS(X6:X65,D6:D65,"Proposal Sent")</f>
        <v>2118427.666666667</v>
      </c>
      <c r="Y153" s="69">
        <f>SUMIFS(Y6:Y65,D6:D65,"Proposal Sent")</f>
        <v>2118427.666666667</v>
      </c>
      <c r="Z153" s="69">
        <f>SUMIFS(Z6:Z65,D6:D65,"Proposal Sent")</f>
        <v>2118427.666666667</v>
      </c>
      <c r="AA153" s="69">
        <f>SUMIFS(AA6:AA65,D6:D65,"Proposal Sent")</f>
        <v>2118427.666666667</v>
      </c>
      <c r="AB153" s="69">
        <f>SUMIFS(AB6:AB65,D6:D65,"Proposal Sent")</f>
        <v>2118427.666666667</v>
      </c>
      <c r="AC153" s="69">
        <f>SUMIFS(AC6:AC65,D6:D65,"Proposal Sent")</f>
        <v>2118427.666666667</v>
      </c>
      <c r="AD153" s="69">
        <f>SUMIFS(AD6:AD65,D6:D65,"Proposal Sent")</f>
        <v>2118427.666666667</v>
      </c>
      <c r="AE153" s="69">
        <f>SUMIFS(AE6:AE65,D6:D65,"Proposal Sent")</f>
        <v>2118427.666666667</v>
      </c>
      <c r="AF153" s="69">
        <f>SUMIFS(AF6:AF65,D6:D65,"Proposal Sent")</f>
        <v>2118427.666666667</v>
      </c>
      <c r="AG153" s="69">
        <f t="shared" si="123"/>
        <v>25421132.000000011</v>
      </c>
      <c r="AH153" s="69">
        <f t="shared" si="124"/>
        <v>36427328.333333343</v>
      </c>
      <c r="AI153" s="54"/>
      <c r="AJ153" s="54"/>
    </row>
    <row r="154" spans="1:36" ht="15" customHeight="1">
      <c r="A154" s="54"/>
      <c r="B154" s="55" t="s">
        <v>150</v>
      </c>
      <c r="C154" s="70">
        <v>0.75</v>
      </c>
      <c r="D154" s="71"/>
      <c r="E154" s="71"/>
      <c r="F154" s="71"/>
      <c r="G154" s="71"/>
      <c r="H154" s="71"/>
      <c r="I154" s="71"/>
      <c r="J154" s="71"/>
      <c r="K154" s="71"/>
      <c r="L154" s="72">
        <f>SUMIFS(L6:L65,D6:D65,"Shortlisted")</f>
        <v>60500</v>
      </c>
      <c r="M154" s="72">
        <f>SUMIFS(M6:M65,D6:D65,"Shortlisted")</f>
        <v>223300</v>
      </c>
      <c r="N154" s="72">
        <f>SUMIFS(N6:N65,D6:D65,"Shortlisted")</f>
        <v>294133.33333333331</v>
      </c>
      <c r="O154" s="72">
        <f>SUMIFS(O6:O65,D6:D65,"Shortlisted")</f>
        <v>294133.33333333331</v>
      </c>
      <c r="P154" s="72">
        <f>SUMIFS(P6:P65,D6:D65,"Shortlisted")</f>
        <v>294133.33333333331</v>
      </c>
      <c r="Q154" s="72">
        <f>SUMIFS(Q6:Q65,D6:D65,"Shortlisted")</f>
        <v>294133.33333333331</v>
      </c>
      <c r="R154" s="72">
        <f>SUMIFS(R6:R65,D6:D65,"Shortlisted")</f>
        <v>294133.33333333331</v>
      </c>
      <c r="S154" s="72">
        <f>SUMIFS(S6:S65,D6:D65,"Shortlisted")</f>
        <v>294133.33333333331</v>
      </c>
      <c r="T154" s="72">
        <f t="shared" si="122"/>
        <v>2048599.9999999995</v>
      </c>
      <c r="U154" s="72">
        <f>SUMIFS(U6:U65,D6:D65,"Shortlisted")</f>
        <v>294133.33333333331</v>
      </c>
      <c r="V154" s="72">
        <f>SUMIFS(V6:V65,D6:D65,"Shortlisted")</f>
        <v>294133.33333333331</v>
      </c>
      <c r="W154" s="72">
        <f>SUMIFS(W6:W65,D6:D65,"Shortlisted")</f>
        <v>294133.33333333331</v>
      </c>
      <c r="X154" s="72">
        <f>SUMIFS(X6:X65,D6:D65,"Shortlisted")</f>
        <v>294133.33333333331</v>
      </c>
      <c r="Y154" s="72">
        <f>SUMIFS(Y6:Y65,D6:D65,"Shortlisted")</f>
        <v>294133.33333333331</v>
      </c>
      <c r="Z154" s="72">
        <f>SUMIFS(Z6:Z65,D6:D65,"Shortlisted")</f>
        <v>294133.33333333331</v>
      </c>
      <c r="AA154" s="72">
        <f>SUMIFS(AA6:AA65,D6:D65,"Shortlisted")</f>
        <v>294133.33333333331</v>
      </c>
      <c r="AB154" s="72">
        <f>SUMIFS(AB6:AB65,D6:D65,"Shortlisted")</f>
        <v>294133.33333333331</v>
      </c>
      <c r="AC154" s="72">
        <f>SUMIFS(AC6:AC65,D6:D65,"Shortlisted")</f>
        <v>294133.33333333331</v>
      </c>
      <c r="AD154" s="72">
        <f>SUMIFS(AD6:AD65,D6:D65,"Shortlisted")</f>
        <v>294133.33333333331</v>
      </c>
      <c r="AE154" s="72">
        <f>SUMIFS(AE6:AE65,D6:D65,"Shortlisted")</f>
        <v>294133.33333333331</v>
      </c>
      <c r="AF154" s="72">
        <f>SUMIFS(AF6:AF65,D6:D65,"Shortlisted")</f>
        <v>294133.33333333331</v>
      </c>
      <c r="AG154" s="72">
        <f t="shared" si="123"/>
        <v>3529600.0000000005</v>
      </c>
      <c r="AH154" s="72">
        <f t="shared" si="124"/>
        <v>5578200</v>
      </c>
      <c r="AI154" s="54"/>
      <c r="AJ154" s="54"/>
    </row>
    <row r="155" spans="1:36" ht="15" customHeight="1">
      <c r="A155" s="54"/>
      <c r="B155" s="55" t="s">
        <v>151</v>
      </c>
      <c r="C155" s="70">
        <v>0.9</v>
      </c>
      <c r="D155" s="71"/>
      <c r="E155" s="71"/>
      <c r="F155" s="71"/>
      <c r="G155" s="71"/>
      <c r="H155" s="71"/>
      <c r="I155" s="71"/>
      <c r="J155" s="71"/>
      <c r="K155" s="71"/>
      <c r="L155" s="72">
        <f>SUMIFS(L6:L65,D6:D65,"Contract Negotiation")</f>
        <v>165000</v>
      </c>
      <c r="M155" s="72">
        <f>SUMIFS(M6:M65,D6:D65,"Contract Negotiation")</f>
        <v>365000</v>
      </c>
      <c r="N155" s="72">
        <f>SUMIFS(N6:N65,D6:D65,"Contract Negotiation")</f>
        <v>365000</v>
      </c>
      <c r="O155" s="72">
        <f>SUMIFS(O6:O65,D6:D65,"Contract Negotiation")</f>
        <v>365000</v>
      </c>
      <c r="P155" s="72">
        <f>SUMIFS(P6:P65,D6:D65,"Contract Negotiation")</f>
        <v>365000</v>
      </c>
      <c r="Q155" s="72">
        <f>SUMIFS(Q6:Q65,D6:D65,"Contract Negotiation")</f>
        <v>365000</v>
      </c>
      <c r="R155" s="72">
        <f>SUMIFS(R6:R65,D6:D65,"Contract Negotiation")</f>
        <v>365000</v>
      </c>
      <c r="S155" s="72">
        <f>SUMIFS(S6:S65,D6:D65,"Contract Negotiation")</f>
        <v>365000</v>
      </c>
      <c r="T155" s="72">
        <f t="shared" si="122"/>
        <v>2720000</v>
      </c>
      <c r="U155" s="72">
        <f>SUMIFS(U6:U65,D6:D65,"Contract Negotiation")</f>
        <v>365000</v>
      </c>
      <c r="V155" s="72">
        <f>SUMIFS(V6:V65,D6:D65,"Contract Negotiation")</f>
        <v>365000</v>
      </c>
      <c r="W155" s="72">
        <f>SUMIFS(W6:W65,D6:D65,"Contract Negotiation")</f>
        <v>365000</v>
      </c>
      <c r="X155" s="72">
        <f>SUMIFS(X6:X65,D6:D65,"Contract Negotiation")</f>
        <v>365000</v>
      </c>
      <c r="Y155" s="72">
        <f>SUMIFS(Y6:Y65,D6:D65,"Contract Negotiation")</f>
        <v>365000</v>
      </c>
      <c r="Z155" s="72">
        <f>SUMIFS(Z6:Z65,D6:D65,"Contract Negotiation")</f>
        <v>365000</v>
      </c>
      <c r="AA155" s="72">
        <f>SUMIFS(AA6:AA65,D6:D65,"Contract Negotiation")</f>
        <v>365000</v>
      </c>
      <c r="AB155" s="72">
        <f>SUMIFS(AB6:AB65,D6:D65,"Contract Negotiation")</f>
        <v>365000</v>
      </c>
      <c r="AC155" s="72">
        <f>SUMIFS(AC6:AC65,D6:D65,"Contract Negotiation")</f>
        <v>365000</v>
      </c>
      <c r="AD155" s="72">
        <f>SUMIFS(AD6:AD65,D6:D65,"Contract Negotiation")</f>
        <v>365000</v>
      </c>
      <c r="AE155" s="72">
        <f>SUMIFS(AE6:AE65,D6:D65,"Contract Negotiation")</f>
        <v>365000</v>
      </c>
      <c r="AF155" s="72">
        <f>SUMIFS(AF6:AF65,D6:D65,"Contract Negotiation")</f>
        <v>365000</v>
      </c>
      <c r="AG155" s="72">
        <f t="shared" si="123"/>
        <v>4380000</v>
      </c>
      <c r="AH155" s="72">
        <f t="shared" si="124"/>
        <v>7100000</v>
      </c>
      <c r="AI155" s="54"/>
      <c r="AJ155" s="54"/>
    </row>
    <row r="156" spans="1:36" ht="15" customHeight="1">
      <c r="A156" s="54"/>
      <c r="B156" s="55" t="s">
        <v>152</v>
      </c>
      <c r="C156" s="70">
        <v>1</v>
      </c>
      <c r="D156" s="71"/>
      <c r="E156" s="71"/>
      <c r="F156" s="71"/>
      <c r="G156" s="71"/>
      <c r="H156" s="71"/>
      <c r="I156" s="71"/>
      <c r="J156" s="71"/>
      <c r="K156" s="71"/>
      <c r="L156" s="72">
        <f>SUMIFS(L6:L65,D6:D65,"Closed Won")</f>
        <v>482216.66666666669</v>
      </c>
      <c r="M156" s="72">
        <f>SUMIFS(M6:M65,D6:D65,"Closed Won")</f>
        <v>482216.66666666669</v>
      </c>
      <c r="N156" s="72">
        <f>SUMIFS(N6:N65,D6:D65,"Closed Won")</f>
        <v>482216.66666666669</v>
      </c>
      <c r="O156" s="72">
        <f>SUMIFS(O6:O65,D6:D65,"Closed Won")</f>
        <v>482216.66666666669</v>
      </c>
      <c r="P156" s="72">
        <f>SUMIFS(P6:P65,D6:D65,"Closed Won")</f>
        <v>482216.66666666669</v>
      </c>
      <c r="Q156" s="72">
        <f>SUMIFS(Q6:Q65,D6:D65,"Closed Won")</f>
        <v>482216.66666666669</v>
      </c>
      <c r="R156" s="72">
        <f>SUMIFS(R6:R65,D6:D65,"Closed Won")</f>
        <v>482216.66666666669</v>
      </c>
      <c r="S156" s="72">
        <f>SUMIFS(S6:S65,D6:D65,"Closed Won")</f>
        <v>482216.66666666669</v>
      </c>
      <c r="T156" s="72">
        <f t="shared" si="122"/>
        <v>3857733.333333333</v>
      </c>
      <c r="U156" s="72">
        <f>SUMIFS(U6:U65,D6:D65,"Closed Won")</f>
        <v>482216.66666666669</v>
      </c>
      <c r="V156" s="72">
        <f>SUMIFS(V6:V65,D6:D65,"Closed Won")</f>
        <v>482216.66666666669</v>
      </c>
      <c r="W156" s="72">
        <f>SUMIFS(W6:W65,D6:D65,"Closed Won")</f>
        <v>482216.66666666669</v>
      </c>
      <c r="X156" s="72">
        <f>SUMIFS(X6:X65,D6:D65,"Closed Won")</f>
        <v>482216.66666666669</v>
      </c>
      <c r="Y156" s="72">
        <f>SUMIFS(Y6:Y65,D6:D65,"Closed Won")</f>
        <v>482216.66666666669</v>
      </c>
      <c r="Z156" s="72">
        <f>SUMIFS(Z6:Z65,D6:D65,"Closed Won")</f>
        <v>482216.66666666669</v>
      </c>
      <c r="AA156" s="72">
        <f>SUMIFS(AA6:AA65,D6:D65,"Closed Won")</f>
        <v>482216.66666666669</v>
      </c>
      <c r="AB156" s="72">
        <f>SUMIFS(AB6:AB65,D6:D65,"Closed Won")</f>
        <v>482216.66666666669</v>
      </c>
      <c r="AC156" s="72">
        <f>SUMIFS(AC6:AC65,D6:D65,"Closed Won")</f>
        <v>482216.66666666669</v>
      </c>
      <c r="AD156" s="72">
        <f>SUMIFS(AD6:AD65,D6:D65,"Closed Won")</f>
        <v>482216.66666666669</v>
      </c>
      <c r="AE156" s="72">
        <f>SUMIFS(AE6:AE65,D6:D65,"Closed Won")</f>
        <v>482216.66666666669</v>
      </c>
      <c r="AF156" s="72">
        <f>SUMIFS(AF6:AF65,D6:D65,"Closed Won")</f>
        <v>482216.66666666669</v>
      </c>
      <c r="AG156" s="72">
        <f t="shared" si="123"/>
        <v>5786600.0000000009</v>
      </c>
      <c r="AH156" s="72">
        <f t="shared" si="124"/>
        <v>9644333.333333334</v>
      </c>
      <c r="AI156" s="54"/>
      <c r="AJ156" s="54"/>
    </row>
    <row r="157" spans="1:36" ht="15" customHeight="1"/>
    <row r="158" spans="1:36" ht="40.5" customHeight="1">
      <c r="A158" s="477" t="s">
        <v>153</v>
      </c>
      <c r="B158" s="477"/>
      <c r="C158" s="477"/>
      <c r="D158" s="477"/>
      <c r="E158" s="477"/>
      <c r="F158" s="477"/>
      <c r="G158" s="477"/>
      <c r="H158" s="477"/>
      <c r="I158" s="477"/>
      <c r="J158" s="477"/>
      <c r="K158" s="477"/>
      <c r="L158" s="477"/>
      <c r="M158" s="477"/>
      <c r="N158" s="477"/>
      <c r="O158" s="477"/>
      <c r="P158" s="477"/>
      <c r="Q158" s="477"/>
      <c r="R158" s="477"/>
      <c r="S158" s="477"/>
      <c r="T158" s="477"/>
      <c r="U158" s="477"/>
      <c r="V158" s="477"/>
      <c r="W158" s="477"/>
      <c r="X158" s="477"/>
      <c r="Y158" s="477"/>
      <c r="Z158" s="477"/>
      <c r="AA158" s="477"/>
      <c r="AB158" s="477"/>
      <c r="AC158" s="477"/>
      <c r="AD158" s="477"/>
      <c r="AE158" s="477"/>
      <c r="AF158" s="477"/>
      <c r="AG158" s="477"/>
      <c r="AH158" s="477"/>
      <c r="AI158" s="477"/>
      <c r="AJ158" s="477"/>
    </row>
    <row r="159" spans="1:36" ht="56.25" customHeight="1">
      <c r="A159" s="40" t="s">
        <v>25</v>
      </c>
      <c r="B159" s="40" t="s">
        <v>27</v>
      </c>
      <c r="C159" s="40" t="s">
        <v>902</v>
      </c>
      <c r="D159" s="40" t="s">
        <v>903</v>
      </c>
      <c r="E159" s="40" t="s">
        <v>904</v>
      </c>
      <c r="F159" s="40" t="s">
        <v>35</v>
      </c>
      <c r="G159" s="40" t="s">
        <v>157</v>
      </c>
      <c r="H159" s="40" t="s">
        <v>158</v>
      </c>
      <c r="I159" s="40" t="s">
        <v>159</v>
      </c>
      <c r="J159" s="40" t="s">
        <v>160</v>
      </c>
      <c r="K159" s="40"/>
      <c r="L159" s="40" t="s">
        <v>99</v>
      </c>
      <c r="M159" s="40" t="s">
        <v>100</v>
      </c>
      <c r="N159" s="40" t="s">
        <v>101</v>
      </c>
      <c r="O159" s="40" t="s">
        <v>102</v>
      </c>
      <c r="P159" s="40" t="s">
        <v>103</v>
      </c>
      <c r="Q159" s="40" t="s">
        <v>104</v>
      </c>
      <c r="R159" s="40" t="s">
        <v>105</v>
      </c>
      <c r="S159" s="40" t="s">
        <v>106</v>
      </c>
      <c r="T159" s="40" t="s">
        <v>161</v>
      </c>
      <c r="U159" s="40" t="s">
        <v>108</v>
      </c>
      <c r="V159" s="40" t="s">
        <v>109</v>
      </c>
      <c r="W159" s="40" t="s">
        <v>110</v>
      </c>
      <c r="X159" s="40" t="s">
        <v>111</v>
      </c>
      <c r="Y159" s="40" t="s">
        <v>112</v>
      </c>
      <c r="Z159" s="40" t="s">
        <v>113</v>
      </c>
      <c r="AA159" s="40" t="s">
        <v>114</v>
      </c>
      <c r="AB159" s="40" t="s">
        <v>115</v>
      </c>
      <c r="AC159" s="40" t="s">
        <v>116</v>
      </c>
      <c r="AD159" s="40" t="s">
        <v>117</v>
      </c>
      <c r="AE159" s="40" t="s">
        <v>118</v>
      </c>
      <c r="AF159" s="40" t="s">
        <v>119</v>
      </c>
      <c r="AG159" s="40" t="s">
        <v>162</v>
      </c>
      <c r="AH159" s="40" t="s">
        <v>163</v>
      </c>
      <c r="AI159" s="40"/>
      <c r="AJ159" s="40" t="s">
        <v>123</v>
      </c>
    </row>
    <row r="160" spans="1:36" ht="34.5" customHeight="1">
      <c r="A160" s="476" t="s">
        <v>164</v>
      </c>
      <c r="B160" s="476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</row>
    <row r="161" spans="1:36" ht="15" customHeight="1">
      <c r="A161" s="43">
        <v>1</v>
      </c>
      <c r="B161" s="73" t="s">
        <v>36</v>
      </c>
      <c r="C161" s="74">
        <f>IFERROR(VLOOKUP("Dammam Port",'Warehouse Pallet data input'!$A$4:$J$13,3,FALSE()),0)</f>
        <v>28694</v>
      </c>
      <c r="D161" s="74">
        <f>IFERROR(VLOOKUP("Dammam Port",'Warehouse Pallet data input'!$A$4:$J$13,4,FALSE()),0)</f>
        <v>34755</v>
      </c>
      <c r="E161" s="74">
        <f>IFERROR(VLOOKUP("Dammam Port",'Warehouse Pallet data input'!$A$4:$J$13,5,FALSE()),0)</f>
        <v>29782</v>
      </c>
      <c r="F161" s="75">
        <f t="shared" ref="F161:F171" si="125">IFERROR(E161/D161,0)</f>
        <v>0.85691267443533303</v>
      </c>
      <c r="G161" s="74">
        <f>IFERROR(VLOOKUP("Dammam Port",'Warehouse Pallet data input'!$A$4:$J$13,7,FALSE()),0)</f>
        <v>4973</v>
      </c>
      <c r="H161" s="74">
        <f>IFERROR(VLOOKUP("Dammam Port",'Warehouse Pallet data input'!$A$4:$J$13,8,FALSE()),0)</f>
        <v>23400</v>
      </c>
      <c r="I161" s="74">
        <f>IFERROR(VLOOKUP("Dammam Port",'Warehouse Pallet data input'!$A$4:$J$13,9,FALSE()),0)</f>
        <v>0</v>
      </c>
      <c r="J161" s="74">
        <f>IFERROR(VLOOKUP("Dammam Port",'Warehouse Pallet data input'!$A$4:$J$13,10,FALSE()),0)</f>
        <v>0</v>
      </c>
      <c r="K161" s="76"/>
      <c r="L161" s="74">
        <f t="shared" ref="L161:L170" si="126">G161-L173</f>
        <v>4673</v>
      </c>
      <c r="M161" s="74">
        <f t="shared" ref="M161:M170" si="127">G161-M173</f>
        <v>4673</v>
      </c>
      <c r="N161" s="74">
        <f t="shared" ref="N161:N170" si="128">G161-N173</f>
        <v>4673</v>
      </c>
      <c r="O161" s="74">
        <f t="shared" ref="O161:O170" si="129">G161-O173</f>
        <v>4673</v>
      </c>
      <c r="P161" s="74">
        <f t="shared" ref="P161:P170" si="130">G161-P173</f>
        <v>4673</v>
      </c>
      <c r="Q161" s="74">
        <f t="shared" ref="Q161:Q170" si="131">G161-Q173</f>
        <v>4673</v>
      </c>
      <c r="R161" s="74">
        <f t="shared" ref="R161:R170" si="132">G161-R173</f>
        <v>4673</v>
      </c>
      <c r="S161" s="74">
        <f t="shared" ref="S161:S170" si="133">G161-S173</f>
        <v>4673</v>
      </c>
      <c r="T161" s="77">
        <f t="shared" ref="T161:T171" si="134">IFERROR(AVERAGE(L161:S161),0)</f>
        <v>4673</v>
      </c>
      <c r="U161" s="74">
        <f t="shared" ref="U161:AF161" si="135">(-$H161+$J161)-U173</f>
        <v>-23700</v>
      </c>
      <c r="V161" s="74">
        <f t="shared" si="135"/>
        <v>-23700</v>
      </c>
      <c r="W161" s="74">
        <f t="shared" si="135"/>
        <v>-23700</v>
      </c>
      <c r="X161" s="74">
        <f t="shared" si="135"/>
        <v>-23700</v>
      </c>
      <c r="Y161" s="74">
        <f t="shared" si="135"/>
        <v>-23700</v>
      </c>
      <c r="Z161" s="74">
        <f t="shared" si="135"/>
        <v>-23700</v>
      </c>
      <c r="AA161" s="74">
        <f t="shared" si="135"/>
        <v>-23700</v>
      </c>
      <c r="AB161" s="74">
        <f t="shared" si="135"/>
        <v>-23700</v>
      </c>
      <c r="AC161" s="74">
        <f t="shared" si="135"/>
        <v>-23700</v>
      </c>
      <c r="AD161" s="74">
        <f t="shared" si="135"/>
        <v>-23700</v>
      </c>
      <c r="AE161" s="74">
        <f t="shared" si="135"/>
        <v>-23700</v>
      </c>
      <c r="AF161" s="74">
        <f t="shared" si="135"/>
        <v>-23700</v>
      </c>
      <c r="AG161" s="77">
        <f t="shared" ref="AG161:AG171" si="136">IFERROR(AVERAGE(U161:AF161),0)</f>
        <v>-23700</v>
      </c>
      <c r="AH161" s="78">
        <f t="shared" ref="AH161:AH171" si="137">IFERROR(AVERAGE(L161:S161,U161:AF161),0)</f>
        <v>-12350.8</v>
      </c>
      <c r="AI161" s="76"/>
      <c r="AJ161" s="76"/>
    </row>
    <row r="162" spans="1:36" ht="15" customHeight="1">
      <c r="A162" s="43">
        <v>2</v>
      </c>
      <c r="B162" s="73" t="s">
        <v>165</v>
      </c>
      <c r="C162" s="74">
        <f>IFERROR(VLOOKUP("Dammam 2nd Ind -Tad WH",'Warehouse Pallet data input'!$A$4:$J$13,3,FALSE()),0)</f>
        <v>16153</v>
      </c>
      <c r="D162" s="74">
        <f>IFERROR(VLOOKUP("Dammam 2nd Ind -Tad WH",'Warehouse Pallet data input'!$A$4:$J$13,4,FALSE()),0)</f>
        <v>18654</v>
      </c>
      <c r="E162" s="74">
        <f>IFERROR(VLOOKUP("Dammam 2nd Ind -Tad WH",'Warehouse Pallet data input'!$A$4:$J$13,5,FALSE()),0)</f>
        <v>8607</v>
      </c>
      <c r="F162" s="75">
        <f t="shared" si="125"/>
        <v>0.46140238018655516</v>
      </c>
      <c r="G162" s="74">
        <f>IFERROR(VLOOKUP("Dammam 2nd Ind -Tad WH",'Warehouse Pallet data input'!$A$4:$J$13,7,FALSE()),0)</f>
        <v>10047</v>
      </c>
      <c r="H162" s="74">
        <f>IFERROR(VLOOKUP("Dammam 2nd Ind -Tad WH",'Warehouse Pallet data input'!$A$4:$J$13,8,FALSE()),0)</f>
        <v>0</v>
      </c>
      <c r="I162" s="74">
        <f>IFERROR(VLOOKUP("Dammam 2nd Ind -Tad WH",'Warehouse Pallet data input'!$A$4:$J$13,9,FALSE()),0)</f>
        <v>3619</v>
      </c>
      <c r="J162" s="74">
        <f>IFERROR(VLOOKUP("Dammam 2nd Ind -Tad WH",'Warehouse Pallet data input'!$A$4:$J$13,10,FALSE()),0)</f>
        <v>0</v>
      </c>
      <c r="K162" s="76"/>
      <c r="L162" s="74">
        <f t="shared" si="126"/>
        <v>6957</v>
      </c>
      <c r="M162" s="74">
        <f t="shared" si="127"/>
        <v>2957</v>
      </c>
      <c r="N162" s="74">
        <f t="shared" si="128"/>
        <v>2957</v>
      </c>
      <c r="O162" s="74">
        <f t="shared" si="129"/>
        <v>2957</v>
      </c>
      <c r="P162" s="74">
        <f t="shared" si="130"/>
        <v>2957</v>
      </c>
      <c r="Q162" s="74">
        <f t="shared" si="131"/>
        <v>2957</v>
      </c>
      <c r="R162" s="74">
        <f t="shared" si="132"/>
        <v>2957</v>
      </c>
      <c r="S162" s="74">
        <f t="shared" si="133"/>
        <v>2957</v>
      </c>
      <c r="T162" s="77">
        <f t="shared" si="134"/>
        <v>3457</v>
      </c>
      <c r="U162" s="74">
        <f t="shared" ref="U162:AF162" si="138">(-$H162+$J162)-U174</f>
        <v>-1590</v>
      </c>
      <c r="V162" s="74">
        <f t="shared" si="138"/>
        <v>-1590</v>
      </c>
      <c r="W162" s="74">
        <f t="shared" si="138"/>
        <v>-1590</v>
      </c>
      <c r="X162" s="74">
        <f t="shared" si="138"/>
        <v>-1590</v>
      </c>
      <c r="Y162" s="74">
        <f t="shared" si="138"/>
        <v>-1590</v>
      </c>
      <c r="Z162" s="74">
        <f t="shared" si="138"/>
        <v>-1590</v>
      </c>
      <c r="AA162" s="74">
        <f t="shared" si="138"/>
        <v>-1590</v>
      </c>
      <c r="AB162" s="74">
        <f t="shared" si="138"/>
        <v>-1590</v>
      </c>
      <c r="AC162" s="74">
        <f t="shared" si="138"/>
        <v>-1590</v>
      </c>
      <c r="AD162" s="74">
        <f t="shared" si="138"/>
        <v>-1590</v>
      </c>
      <c r="AE162" s="74">
        <f t="shared" si="138"/>
        <v>-1590</v>
      </c>
      <c r="AF162" s="74">
        <f t="shared" si="138"/>
        <v>-1590</v>
      </c>
      <c r="AG162" s="77">
        <f t="shared" si="136"/>
        <v>-1590</v>
      </c>
      <c r="AH162" s="78">
        <f t="shared" si="137"/>
        <v>428.8</v>
      </c>
      <c r="AI162" s="76"/>
      <c r="AJ162" s="76"/>
    </row>
    <row r="163" spans="1:36" ht="15" customHeight="1">
      <c r="A163" s="43">
        <v>3</v>
      </c>
      <c r="B163" s="73" t="s">
        <v>38</v>
      </c>
      <c r="C163" s="74">
        <f>IFERROR(VLOOKUP("Jubail 1",'Warehouse Pallet data input'!$A$4:$J$13,3,FALSE()),0)</f>
        <v>31172</v>
      </c>
      <c r="D163" s="74">
        <f>IFERROR(VLOOKUP("Jubail 1",'Warehouse Pallet data input'!$A$4:$J$13,4,FALSE()),0)</f>
        <v>35542</v>
      </c>
      <c r="E163" s="74">
        <f>IFERROR(VLOOKUP("Jubail 1",'Warehouse Pallet data input'!$A$4:$J$13,5,FALSE()),0)</f>
        <v>11836</v>
      </c>
      <c r="F163" s="75">
        <f t="shared" si="125"/>
        <v>0.33301446176354738</v>
      </c>
      <c r="G163" s="74">
        <f>IFERROR(VLOOKUP("Jubail 1",'Warehouse Pallet data input'!$A$4:$J$13,7,FALSE()),0)</f>
        <v>23706</v>
      </c>
      <c r="H163" s="74">
        <f>IFERROR(VLOOKUP("Jubail 1",'Warehouse Pallet data input'!$A$4:$J$13,8,FALSE()),0)</f>
        <v>13157</v>
      </c>
      <c r="I163" s="74">
        <f>IFERROR(VLOOKUP("Jubail 1",'Warehouse Pallet data input'!$A$4:$J$13,9,FALSE()),0)</f>
        <v>146</v>
      </c>
      <c r="J163" s="74">
        <f>IFERROR(VLOOKUP("Jubail 1",'Warehouse Pallet data input'!$A$4:$J$13,10,FALSE()),0)</f>
        <v>144</v>
      </c>
      <c r="K163" s="76"/>
      <c r="L163" s="74">
        <f t="shared" si="126"/>
        <v>21506</v>
      </c>
      <c r="M163" s="74">
        <f t="shared" si="127"/>
        <v>19376</v>
      </c>
      <c r="N163" s="74">
        <f t="shared" si="128"/>
        <v>19376</v>
      </c>
      <c r="O163" s="74">
        <f t="shared" si="129"/>
        <v>19376</v>
      </c>
      <c r="P163" s="74">
        <f t="shared" si="130"/>
        <v>19376</v>
      </c>
      <c r="Q163" s="74">
        <f t="shared" si="131"/>
        <v>19376</v>
      </c>
      <c r="R163" s="74">
        <f t="shared" si="132"/>
        <v>19376</v>
      </c>
      <c r="S163" s="74">
        <f t="shared" si="133"/>
        <v>19376</v>
      </c>
      <c r="T163" s="77">
        <f t="shared" si="134"/>
        <v>19642.25</v>
      </c>
      <c r="U163" s="74">
        <f t="shared" ref="U163:AF163" si="139">(-$H163+$J163)-U175</f>
        <v>-14213</v>
      </c>
      <c r="V163" s="74">
        <f t="shared" si="139"/>
        <v>-14213</v>
      </c>
      <c r="W163" s="74">
        <f t="shared" si="139"/>
        <v>-14213</v>
      </c>
      <c r="X163" s="74">
        <f t="shared" si="139"/>
        <v>-14213</v>
      </c>
      <c r="Y163" s="74">
        <f t="shared" si="139"/>
        <v>-14213</v>
      </c>
      <c r="Z163" s="74">
        <f t="shared" si="139"/>
        <v>-14213</v>
      </c>
      <c r="AA163" s="74">
        <f t="shared" si="139"/>
        <v>-14213</v>
      </c>
      <c r="AB163" s="74">
        <f t="shared" si="139"/>
        <v>-14213</v>
      </c>
      <c r="AC163" s="74">
        <f t="shared" si="139"/>
        <v>-14213</v>
      </c>
      <c r="AD163" s="74">
        <f t="shared" si="139"/>
        <v>-14213</v>
      </c>
      <c r="AE163" s="74">
        <f t="shared" si="139"/>
        <v>-14213</v>
      </c>
      <c r="AF163" s="74">
        <f t="shared" si="139"/>
        <v>-14213</v>
      </c>
      <c r="AG163" s="77">
        <f t="shared" si="136"/>
        <v>-14213</v>
      </c>
      <c r="AH163" s="78">
        <f t="shared" si="137"/>
        <v>-670.9</v>
      </c>
      <c r="AI163" s="76"/>
      <c r="AJ163" s="76"/>
    </row>
    <row r="164" spans="1:36" ht="15" customHeight="1">
      <c r="A164" s="43">
        <v>4</v>
      </c>
      <c r="B164" s="73" t="s">
        <v>39</v>
      </c>
      <c r="C164" s="74">
        <f>IFERROR(VLOOKUP("Jubail 2",'Warehouse Pallet data input'!$A$4:$J$13,3,FALSE()),0)</f>
        <v>8152</v>
      </c>
      <c r="D164" s="74">
        <f>IFERROR(VLOOKUP("Jubail 2",'Warehouse Pallet data input'!$A$4:$J$13,4,FALSE()),0)</f>
        <v>29258</v>
      </c>
      <c r="E164" s="74">
        <f>IFERROR(VLOOKUP("Jubail 2",'Warehouse Pallet data input'!$A$4:$J$13,5,FALSE()),0)</f>
        <v>10011</v>
      </c>
      <c r="F164" s="75">
        <f t="shared" si="125"/>
        <v>0.34216282726092007</v>
      </c>
      <c r="G164" s="74">
        <f>IFERROR(VLOOKUP("Jubail 2",'Warehouse Pallet data input'!$A$4:$J$13,7,FALSE()),0)</f>
        <v>19247</v>
      </c>
      <c r="H164" s="74">
        <f>IFERROR(VLOOKUP("Jubail 2",'Warehouse Pallet data input'!$A$4:$J$13,8,FALSE()),0)</f>
        <v>0</v>
      </c>
      <c r="I164" s="74">
        <f>IFERROR(VLOOKUP("Jubail 2",'Warehouse Pallet data input'!$A$4:$J$13,9,FALSE()),0)</f>
        <v>0</v>
      </c>
      <c r="J164" s="74">
        <f>IFERROR(VLOOKUP("Jubail 2",'Warehouse Pallet data input'!$A$4:$J$13,10,FALSE()),0)</f>
        <v>0</v>
      </c>
      <c r="K164" s="76"/>
      <c r="L164" s="74">
        <f t="shared" si="126"/>
        <v>19247</v>
      </c>
      <c r="M164" s="74">
        <f t="shared" si="127"/>
        <v>19247</v>
      </c>
      <c r="N164" s="74">
        <f t="shared" si="128"/>
        <v>19247</v>
      </c>
      <c r="O164" s="74">
        <f t="shared" si="129"/>
        <v>19247</v>
      </c>
      <c r="P164" s="74">
        <f t="shared" si="130"/>
        <v>19247</v>
      </c>
      <c r="Q164" s="74">
        <f t="shared" si="131"/>
        <v>19247</v>
      </c>
      <c r="R164" s="74">
        <f t="shared" si="132"/>
        <v>19247</v>
      </c>
      <c r="S164" s="74">
        <f t="shared" si="133"/>
        <v>19247</v>
      </c>
      <c r="T164" s="77">
        <f t="shared" si="134"/>
        <v>19247</v>
      </c>
      <c r="U164" s="74">
        <f t="shared" ref="U164:AF164" si="140">(-$H164+$J164)-U176</f>
        <v>0</v>
      </c>
      <c r="V164" s="74">
        <f t="shared" si="140"/>
        <v>0</v>
      </c>
      <c r="W164" s="74">
        <f t="shared" si="140"/>
        <v>0</v>
      </c>
      <c r="X164" s="74">
        <f t="shared" si="140"/>
        <v>0</v>
      </c>
      <c r="Y164" s="74">
        <f t="shared" si="140"/>
        <v>0</v>
      </c>
      <c r="Z164" s="74">
        <f t="shared" si="140"/>
        <v>0</v>
      </c>
      <c r="AA164" s="74">
        <f t="shared" si="140"/>
        <v>0</v>
      </c>
      <c r="AB164" s="74">
        <f t="shared" si="140"/>
        <v>0</v>
      </c>
      <c r="AC164" s="74">
        <f t="shared" si="140"/>
        <v>0</v>
      </c>
      <c r="AD164" s="74">
        <f t="shared" si="140"/>
        <v>0</v>
      </c>
      <c r="AE164" s="74">
        <f t="shared" si="140"/>
        <v>0</v>
      </c>
      <c r="AF164" s="74">
        <f t="shared" si="140"/>
        <v>0</v>
      </c>
      <c r="AG164" s="77">
        <f t="shared" si="136"/>
        <v>0</v>
      </c>
      <c r="AH164" s="78">
        <f t="shared" si="137"/>
        <v>7698.8</v>
      </c>
      <c r="AI164" s="76"/>
      <c r="AJ164" s="76"/>
    </row>
    <row r="165" spans="1:36" ht="15" customHeight="1">
      <c r="A165" s="79">
        <v>5</v>
      </c>
      <c r="B165" s="80" t="s">
        <v>40</v>
      </c>
      <c r="C165" s="81">
        <f>IF((C163+C164)&lt;&gt;0,(C163+C164),IFERROR(VLOOKUP("Jubail Total",'Warehouse Pallet data input'!$A$4:$J$13,3,FALSE()),0))</f>
        <v>39324</v>
      </c>
      <c r="D165" s="81">
        <f>IF((D163+D164)&lt;&gt;0,(D163+D164),IFERROR(VLOOKUP("Jubail Total",'Warehouse Pallet data input'!$A$4:$J$13,4,FALSE()),0))</f>
        <v>64800</v>
      </c>
      <c r="E165" s="81">
        <f>IF((E163+E164)&lt;&gt;0,(E163+E164),IFERROR(VLOOKUP("Jubail Total",'Warehouse Pallet data input'!$A$4:$J$13,5,FALSE()),0))</f>
        <v>21847</v>
      </c>
      <c r="F165" s="82">
        <f t="shared" si="125"/>
        <v>0.33714506172839503</v>
      </c>
      <c r="G165" s="81">
        <f>IF((G163+G164)&lt;&gt;0,(G163+G164),IFERROR(VLOOKUP("Jubail Total",'Warehouse Pallet data input'!$A$4:$J$13,7,FALSE()),0))</f>
        <v>42953</v>
      </c>
      <c r="H165" s="81">
        <f>IF((H163+H164)&lt;&gt;0,(H163+H164),IFERROR(VLOOKUP("Jubail Total",'Warehouse Pallet data input'!$A$4:$J$13,8,FALSE()),0))</f>
        <v>13157</v>
      </c>
      <c r="I165" s="81">
        <f>IF((I163+I164)&lt;&gt;0,(I163+I164),IFERROR(VLOOKUP("Jubail Total",'Warehouse Pallet data input'!$A$4:$J$13,9,FALSE()),0))</f>
        <v>146</v>
      </c>
      <c r="J165" s="81">
        <f>IF((J163+J164)&lt;&gt;0,(J163+J164),IFERROR(VLOOKUP("Jubail Total",'Warehouse Pallet data input'!$A$4:$J$13,10,FALSE()),0))</f>
        <v>144</v>
      </c>
      <c r="K165" s="54"/>
      <c r="L165" s="83">
        <f t="shared" si="126"/>
        <v>40753</v>
      </c>
      <c r="M165" s="83">
        <f t="shared" si="127"/>
        <v>38623</v>
      </c>
      <c r="N165" s="83">
        <f t="shared" si="128"/>
        <v>38623</v>
      </c>
      <c r="O165" s="83">
        <f t="shared" si="129"/>
        <v>38623</v>
      </c>
      <c r="P165" s="83">
        <f t="shared" si="130"/>
        <v>38623</v>
      </c>
      <c r="Q165" s="83">
        <f t="shared" si="131"/>
        <v>38623</v>
      </c>
      <c r="R165" s="83">
        <f t="shared" si="132"/>
        <v>38623</v>
      </c>
      <c r="S165" s="83">
        <f t="shared" si="133"/>
        <v>38623</v>
      </c>
      <c r="T165" s="84">
        <f t="shared" si="134"/>
        <v>38889.25</v>
      </c>
      <c r="U165" s="81">
        <f t="shared" ref="U165:AF165" si="141">(-$H165+$J165)-U177</f>
        <v>-14213</v>
      </c>
      <c r="V165" s="81">
        <f t="shared" si="141"/>
        <v>-14213</v>
      </c>
      <c r="W165" s="81">
        <f t="shared" si="141"/>
        <v>-14213</v>
      </c>
      <c r="X165" s="81">
        <f t="shared" si="141"/>
        <v>-14213</v>
      </c>
      <c r="Y165" s="81">
        <f t="shared" si="141"/>
        <v>-14213</v>
      </c>
      <c r="Z165" s="81">
        <f t="shared" si="141"/>
        <v>-14213</v>
      </c>
      <c r="AA165" s="81">
        <f t="shared" si="141"/>
        <v>-14213</v>
      </c>
      <c r="AB165" s="81">
        <f t="shared" si="141"/>
        <v>-14213</v>
      </c>
      <c r="AC165" s="81">
        <f t="shared" si="141"/>
        <v>-14213</v>
      </c>
      <c r="AD165" s="81">
        <f t="shared" si="141"/>
        <v>-14213</v>
      </c>
      <c r="AE165" s="81">
        <f t="shared" si="141"/>
        <v>-14213</v>
      </c>
      <c r="AF165" s="81">
        <f t="shared" si="141"/>
        <v>-14213</v>
      </c>
      <c r="AG165" s="84">
        <f t="shared" si="136"/>
        <v>-14213</v>
      </c>
      <c r="AH165" s="57">
        <f t="shared" si="137"/>
        <v>7027.9</v>
      </c>
      <c r="AI165" s="54"/>
      <c r="AJ165" s="54"/>
    </row>
    <row r="166" spans="1:36" ht="15" customHeight="1">
      <c r="A166" s="43">
        <v>6</v>
      </c>
      <c r="B166" s="73" t="s">
        <v>41</v>
      </c>
      <c r="C166" s="74">
        <f>IFERROR(VLOOKUP("Jeddah Modon 3A",'Warehouse Pallet data input'!$A$4:$J$13,3,FALSE()),0)</f>
        <v>36212</v>
      </c>
      <c r="D166" s="74">
        <f>IFERROR(VLOOKUP("Jeddah Modon 3A",'Warehouse Pallet data input'!$A$4:$J$13,4,FALSE()),0)</f>
        <v>36840</v>
      </c>
      <c r="E166" s="74">
        <f>IFERROR(VLOOKUP("Jeddah Modon 3A",'Warehouse Pallet data input'!$A$4:$J$13,5,FALSE()),0)</f>
        <v>17127</v>
      </c>
      <c r="F166" s="75">
        <f t="shared" si="125"/>
        <v>0.46490228013029317</v>
      </c>
      <c r="G166" s="74">
        <f>IFERROR(VLOOKUP("Jeddah Modon 3A",'Warehouse Pallet data input'!$A$4:$J$13,7,FALSE()),0)</f>
        <v>19713</v>
      </c>
      <c r="H166" s="74">
        <f>IFERROR(VLOOKUP("Jeddah Modon 3A",'Warehouse Pallet data input'!$A$4:$J$13,8,FALSE()),0)</f>
        <v>300</v>
      </c>
      <c r="I166" s="74">
        <f>IFERROR(VLOOKUP("Jeddah Modon 3A",'Warehouse Pallet data input'!$A$4:$J$13,9,FALSE()),0)</f>
        <v>9038</v>
      </c>
      <c r="J166" s="74">
        <f>IFERROR(VLOOKUP("Jeddah Modon 3A",'Warehouse Pallet data input'!$A$4:$J$13,10,FALSE()),0)</f>
        <v>134</v>
      </c>
      <c r="K166" s="76"/>
      <c r="L166" s="74">
        <f t="shared" si="126"/>
        <v>16713</v>
      </c>
      <c r="M166" s="74">
        <f t="shared" si="127"/>
        <v>15213</v>
      </c>
      <c r="N166" s="74">
        <f t="shared" si="128"/>
        <v>15213</v>
      </c>
      <c r="O166" s="74">
        <f t="shared" si="129"/>
        <v>15213</v>
      </c>
      <c r="P166" s="74">
        <f t="shared" si="130"/>
        <v>15213</v>
      </c>
      <c r="Q166" s="74">
        <f t="shared" si="131"/>
        <v>15213</v>
      </c>
      <c r="R166" s="74">
        <f t="shared" si="132"/>
        <v>15213</v>
      </c>
      <c r="S166" s="74">
        <f t="shared" si="133"/>
        <v>15213</v>
      </c>
      <c r="T166" s="77">
        <f t="shared" si="134"/>
        <v>15400.5</v>
      </c>
      <c r="U166" s="74">
        <f t="shared" ref="U166:AF166" si="142">(-$H166+$J166)-U178</f>
        <v>-166</v>
      </c>
      <c r="V166" s="74">
        <f t="shared" si="142"/>
        <v>-166</v>
      </c>
      <c r="W166" s="74">
        <f t="shared" si="142"/>
        <v>-166</v>
      </c>
      <c r="X166" s="74">
        <f t="shared" si="142"/>
        <v>-166</v>
      </c>
      <c r="Y166" s="74">
        <f t="shared" si="142"/>
        <v>-166</v>
      </c>
      <c r="Z166" s="74">
        <f t="shared" si="142"/>
        <v>-166</v>
      </c>
      <c r="AA166" s="74">
        <f t="shared" si="142"/>
        <v>-166</v>
      </c>
      <c r="AB166" s="74">
        <f t="shared" si="142"/>
        <v>-166</v>
      </c>
      <c r="AC166" s="74">
        <f t="shared" si="142"/>
        <v>-166</v>
      </c>
      <c r="AD166" s="74">
        <f t="shared" si="142"/>
        <v>-166</v>
      </c>
      <c r="AE166" s="74">
        <f t="shared" si="142"/>
        <v>-166</v>
      </c>
      <c r="AF166" s="74">
        <f t="shared" si="142"/>
        <v>-166</v>
      </c>
      <c r="AG166" s="77">
        <f t="shared" si="136"/>
        <v>-166</v>
      </c>
      <c r="AH166" s="78">
        <f t="shared" si="137"/>
        <v>6060.6</v>
      </c>
      <c r="AI166" s="76"/>
      <c r="AJ166" s="76"/>
    </row>
    <row r="167" spans="1:36" ht="15" customHeight="1">
      <c r="A167" s="43">
        <v>7</v>
      </c>
      <c r="B167" s="73" t="s">
        <v>42</v>
      </c>
      <c r="C167" s="74">
        <f>IFERROR(VLOOKUP("Jeddah Modon 3B",'Warehouse Pallet data input'!$A$4:$J$13,3,FALSE()),0)</f>
        <v>12177</v>
      </c>
      <c r="D167" s="74">
        <f>IFERROR(VLOOKUP("Jeddah Modon 3B",'Warehouse Pallet data input'!$A$4:$J$13,4,FALSE()),0)</f>
        <v>14189</v>
      </c>
      <c r="E167" s="74">
        <f>IFERROR(VLOOKUP("Jeddah Modon 3B",'Warehouse Pallet data input'!$A$4:$J$13,5,FALSE()),0)</f>
        <v>13503</v>
      </c>
      <c r="F167" s="75">
        <f t="shared" si="125"/>
        <v>0.95165268870251607</v>
      </c>
      <c r="G167" s="74">
        <f>IFERROR(VLOOKUP("Jeddah Modon 3B",'Warehouse Pallet data input'!$A$4:$J$13,7,FALSE()),0)</f>
        <v>686</v>
      </c>
      <c r="H167" s="74">
        <f>IFERROR(VLOOKUP("Jeddah Modon 3B",'Warehouse Pallet data input'!$A$4:$J$13,8,FALSE()),0)</f>
        <v>2600</v>
      </c>
      <c r="I167" s="74">
        <f>IFERROR(VLOOKUP("Jeddah Modon 3B",'Warehouse Pallet data input'!$A$4:$J$13,9,FALSE()),0)</f>
        <v>3734</v>
      </c>
      <c r="J167" s="74">
        <f>IFERROR(VLOOKUP("Jeddah Modon 3B",'Warehouse Pallet data input'!$A$4:$J$13,10,FALSE()),0)</f>
        <v>0</v>
      </c>
      <c r="K167" s="76"/>
      <c r="L167" s="74">
        <f t="shared" si="126"/>
        <v>-4814</v>
      </c>
      <c r="M167" s="74">
        <f t="shared" si="127"/>
        <v>-4814</v>
      </c>
      <c r="N167" s="74">
        <f t="shared" si="128"/>
        <v>-4814</v>
      </c>
      <c r="O167" s="74">
        <f t="shared" si="129"/>
        <v>-4814</v>
      </c>
      <c r="P167" s="74">
        <f t="shared" si="130"/>
        <v>-4814</v>
      </c>
      <c r="Q167" s="74">
        <f t="shared" si="131"/>
        <v>-4814</v>
      </c>
      <c r="R167" s="74">
        <f t="shared" si="132"/>
        <v>-4814</v>
      </c>
      <c r="S167" s="74">
        <f t="shared" si="133"/>
        <v>-4814</v>
      </c>
      <c r="T167" s="77">
        <f t="shared" si="134"/>
        <v>-4814</v>
      </c>
      <c r="U167" s="74">
        <f t="shared" ref="U167:AF167" si="143">(-$H167+$J167)-U179</f>
        <v>-8100</v>
      </c>
      <c r="V167" s="74">
        <f t="shared" si="143"/>
        <v>-8100</v>
      </c>
      <c r="W167" s="74">
        <f t="shared" si="143"/>
        <v>-8100</v>
      </c>
      <c r="X167" s="74">
        <f t="shared" si="143"/>
        <v>-8100</v>
      </c>
      <c r="Y167" s="74">
        <f t="shared" si="143"/>
        <v>-8100</v>
      </c>
      <c r="Z167" s="74">
        <f t="shared" si="143"/>
        <v>-8100</v>
      </c>
      <c r="AA167" s="74">
        <f t="shared" si="143"/>
        <v>-8100</v>
      </c>
      <c r="AB167" s="74">
        <f t="shared" si="143"/>
        <v>-8100</v>
      </c>
      <c r="AC167" s="74">
        <f t="shared" si="143"/>
        <v>-8100</v>
      </c>
      <c r="AD167" s="74">
        <f t="shared" si="143"/>
        <v>-8100</v>
      </c>
      <c r="AE167" s="74">
        <f t="shared" si="143"/>
        <v>-8100</v>
      </c>
      <c r="AF167" s="74">
        <f t="shared" si="143"/>
        <v>-8100</v>
      </c>
      <c r="AG167" s="77">
        <f t="shared" si="136"/>
        <v>-8100</v>
      </c>
      <c r="AH167" s="78">
        <f t="shared" si="137"/>
        <v>-6785.6</v>
      </c>
      <c r="AI167" s="76"/>
      <c r="AJ167" s="76"/>
    </row>
    <row r="168" spans="1:36" ht="15" customHeight="1">
      <c r="A168" s="43">
        <v>8</v>
      </c>
      <c r="B168" s="73" t="s">
        <v>43</v>
      </c>
      <c r="C168" s="74">
        <f>IFERROR(VLOOKUP("RUH Tayba",'Warehouse Pallet data input'!$A$4:$J$13,3,FALSE()),0)</f>
        <v>0</v>
      </c>
      <c r="D168" s="74">
        <f>IFERROR(VLOOKUP("RUH Tayba",'Warehouse Pallet data input'!$A$4:$J$13,4,FALSE()),0)</f>
        <v>11132</v>
      </c>
      <c r="E168" s="74">
        <f>IFERROR(VLOOKUP("RUH Tayba",'Warehouse Pallet data input'!$A$4:$J$13,5,FALSE()),0)</f>
        <v>8134</v>
      </c>
      <c r="F168" s="75">
        <f t="shared" si="125"/>
        <v>0.73068630973769311</v>
      </c>
      <c r="G168" s="74">
        <f>IFERROR(VLOOKUP("RUH Tayba",'Warehouse Pallet data input'!$A$4:$J$13,7,FALSE()),0)</f>
        <v>2998</v>
      </c>
      <c r="H168" s="74">
        <f>IFERROR(VLOOKUP("RUH Tayba",'Warehouse Pallet data input'!$A$4:$J$13,8,FALSE()),0)</f>
        <v>317</v>
      </c>
      <c r="I168" s="74">
        <f>IFERROR(VLOOKUP("RUH Tayba",'Warehouse Pallet data input'!$A$4:$J$13,9,FALSE()),0)</f>
        <v>0</v>
      </c>
      <c r="J168" s="74">
        <f>IFERROR(VLOOKUP("RUH Tayba",'Warehouse Pallet data input'!$A$4:$J$13,10,FALSE()),0)</f>
        <v>0</v>
      </c>
      <c r="K168" s="76"/>
      <c r="L168" s="74">
        <f t="shared" si="126"/>
        <v>2998</v>
      </c>
      <c r="M168" s="74">
        <f t="shared" si="127"/>
        <v>2998</v>
      </c>
      <c r="N168" s="74">
        <f t="shared" si="128"/>
        <v>2998</v>
      </c>
      <c r="O168" s="74">
        <f t="shared" si="129"/>
        <v>2998</v>
      </c>
      <c r="P168" s="74">
        <f t="shared" si="130"/>
        <v>2998</v>
      </c>
      <c r="Q168" s="74">
        <f t="shared" si="131"/>
        <v>2998</v>
      </c>
      <c r="R168" s="74">
        <f t="shared" si="132"/>
        <v>2998</v>
      </c>
      <c r="S168" s="74">
        <f t="shared" si="133"/>
        <v>2998</v>
      </c>
      <c r="T168" s="77">
        <f t="shared" si="134"/>
        <v>2998</v>
      </c>
      <c r="U168" s="74">
        <f t="shared" ref="U168:AF168" si="144">(-$H168+$J168)-U180</f>
        <v>-317</v>
      </c>
      <c r="V168" s="74">
        <f t="shared" si="144"/>
        <v>-317</v>
      </c>
      <c r="W168" s="74">
        <f t="shared" si="144"/>
        <v>-317</v>
      </c>
      <c r="X168" s="74">
        <f t="shared" si="144"/>
        <v>-317</v>
      </c>
      <c r="Y168" s="74">
        <f t="shared" si="144"/>
        <v>-317</v>
      </c>
      <c r="Z168" s="74">
        <f t="shared" si="144"/>
        <v>-317</v>
      </c>
      <c r="AA168" s="74">
        <f t="shared" si="144"/>
        <v>-317</v>
      </c>
      <c r="AB168" s="74">
        <f t="shared" si="144"/>
        <v>-317</v>
      </c>
      <c r="AC168" s="74">
        <f t="shared" si="144"/>
        <v>-317</v>
      </c>
      <c r="AD168" s="74">
        <f t="shared" si="144"/>
        <v>-317</v>
      </c>
      <c r="AE168" s="74">
        <f t="shared" si="144"/>
        <v>-317</v>
      </c>
      <c r="AF168" s="74">
        <f t="shared" si="144"/>
        <v>-317</v>
      </c>
      <c r="AG168" s="77">
        <f t="shared" si="136"/>
        <v>-317</v>
      </c>
      <c r="AH168" s="78">
        <f t="shared" si="137"/>
        <v>1009</v>
      </c>
      <c r="AI168" s="76"/>
      <c r="AJ168" s="76"/>
    </row>
    <row r="169" spans="1:36" ht="15" customHeight="1">
      <c r="A169" s="43">
        <v>9</v>
      </c>
      <c r="B169" s="73" t="s">
        <v>44</v>
      </c>
      <c r="C169" s="74">
        <f>IFERROR(VLOOKUP("Subcontractor",'Warehouse Pallet data input'!$A$4:$J$13,3,FALSE()),0)</f>
        <v>0</v>
      </c>
      <c r="D169" s="74">
        <f>IFERROR(VLOOKUP("Subcontractor",'Warehouse Pallet data input'!$A$4:$J$13,4,FALSE()),0)</f>
        <v>0</v>
      </c>
      <c r="E169" s="74">
        <f>IFERROR(VLOOKUP("Subcontractor",'Warehouse Pallet data input'!$A$4:$J$13,5,FALSE()),0)</f>
        <v>0</v>
      </c>
      <c r="F169" s="75">
        <f t="shared" si="125"/>
        <v>0</v>
      </c>
      <c r="G169" s="74">
        <f>IFERROR(VLOOKUP("Subcontractor",'Warehouse Pallet data input'!$A$4:$J$13,7,FALSE()),0)</f>
        <v>7500</v>
      </c>
      <c r="H169" s="74">
        <f>IFERROR(VLOOKUP("Subcontractor",'Warehouse Pallet data input'!$A$4:$J$13,8,FALSE()),0)</f>
        <v>0</v>
      </c>
      <c r="I169" s="74">
        <f>IFERROR(VLOOKUP("Subcontractor",'Warehouse Pallet data input'!$A$4:$J$13,9,FALSE()),0)</f>
        <v>0</v>
      </c>
      <c r="J169" s="74">
        <f>IFERROR(VLOOKUP("Subcontractor",'Warehouse Pallet data input'!$A$4:$J$13,10,FALSE()),0)</f>
        <v>0</v>
      </c>
      <c r="K169" s="76"/>
      <c r="L169" s="85">
        <f t="shared" si="126"/>
        <v>5000</v>
      </c>
      <c r="M169" s="85">
        <f t="shared" si="127"/>
        <v>5000</v>
      </c>
      <c r="N169" s="85">
        <f t="shared" si="128"/>
        <v>5000</v>
      </c>
      <c r="O169" s="85">
        <f t="shared" si="129"/>
        <v>5000</v>
      </c>
      <c r="P169" s="85">
        <f t="shared" si="130"/>
        <v>5000</v>
      </c>
      <c r="Q169" s="85">
        <f t="shared" si="131"/>
        <v>5000</v>
      </c>
      <c r="R169" s="85">
        <f t="shared" si="132"/>
        <v>5000</v>
      </c>
      <c r="S169" s="85">
        <f t="shared" si="133"/>
        <v>5000</v>
      </c>
      <c r="T169" s="77">
        <f t="shared" si="134"/>
        <v>5000</v>
      </c>
      <c r="U169" s="74">
        <f t="shared" ref="U169:AF169" si="145">(-$H169+$J169)-U181</f>
        <v>-2500</v>
      </c>
      <c r="V169" s="74">
        <f t="shared" si="145"/>
        <v>-2500</v>
      </c>
      <c r="W169" s="74">
        <f t="shared" si="145"/>
        <v>-2500</v>
      </c>
      <c r="X169" s="74">
        <f t="shared" si="145"/>
        <v>-2500</v>
      </c>
      <c r="Y169" s="74">
        <f t="shared" si="145"/>
        <v>-2500</v>
      </c>
      <c r="Z169" s="74">
        <f t="shared" si="145"/>
        <v>-2500</v>
      </c>
      <c r="AA169" s="74">
        <f t="shared" si="145"/>
        <v>-2500</v>
      </c>
      <c r="AB169" s="74">
        <f t="shared" si="145"/>
        <v>-2500</v>
      </c>
      <c r="AC169" s="74">
        <f t="shared" si="145"/>
        <v>-2500</v>
      </c>
      <c r="AD169" s="74">
        <f t="shared" si="145"/>
        <v>-2500</v>
      </c>
      <c r="AE169" s="74">
        <f t="shared" si="145"/>
        <v>-2500</v>
      </c>
      <c r="AF169" s="74">
        <f t="shared" si="145"/>
        <v>-2500</v>
      </c>
      <c r="AG169" s="77">
        <f t="shared" si="136"/>
        <v>-2500</v>
      </c>
      <c r="AH169" s="78">
        <f t="shared" si="137"/>
        <v>500</v>
      </c>
      <c r="AI169" s="76"/>
      <c r="AJ169" s="76"/>
    </row>
    <row r="170" spans="1:36" ht="15" customHeight="1">
      <c r="A170" s="43">
        <v>10</v>
      </c>
      <c r="B170" s="73" t="s">
        <v>45</v>
      </c>
      <c r="C170" s="74">
        <f>IFERROR(VLOOKUP("Contract Logistics",'Warehouse Pallet data input'!$A$4:$J$13,3,FALSE()),0)</f>
        <v>0</v>
      </c>
      <c r="D170" s="74">
        <f>IFERROR(VLOOKUP("Contract Logistics",'Warehouse Pallet data input'!$A$4:$J$13,4,FALSE()),0)</f>
        <v>0</v>
      </c>
      <c r="E170" s="74">
        <f>IFERROR(VLOOKUP("Contract Logistics",'Warehouse Pallet data input'!$A$4:$J$13,5,FALSE()),0)</f>
        <v>0</v>
      </c>
      <c r="F170" s="75">
        <f t="shared" si="125"/>
        <v>0</v>
      </c>
      <c r="G170" s="74">
        <f>IFERROR(VLOOKUP("Contract Logistics",'Warehouse Pallet data input'!$A$4:$J$13,7,FALSE()),0)</f>
        <v>0</v>
      </c>
      <c r="H170" s="74">
        <f>IFERROR(VLOOKUP("Contract Logistics",'Warehouse Pallet data input'!$A$4:$J$13,8,FALSE()),0)</f>
        <v>0</v>
      </c>
      <c r="I170" s="74">
        <f>IFERROR(VLOOKUP("Contract Logistics",'Warehouse Pallet data input'!$A$4:$J$13,9,FALSE()),0)</f>
        <v>0</v>
      </c>
      <c r="J170" s="74">
        <f>IFERROR(VLOOKUP("Contract Logistics",'Warehouse Pallet data input'!$A$4:$J$13,10,FALSE()),0)</f>
        <v>0</v>
      </c>
      <c r="K170" s="76"/>
      <c r="L170" s="74">
        <f t="shared" si="126"/>
        <v>0</v>
      </c>
      <c r="M170" s="74">
        <f t="shared" si="127"/>
        <v>0</v>
      </c>
      <c r="N170" s="74">
        <f t="shared" si="128"/>
        <v>0</v>
      </c>
      <c r="O170" s="74">
        <f t="shared" si="129"/>
        <v>0</v>
      </c>
      <c r="P170" s="74">
        <f t="shared" si="130"/>
        <v>0</v>
      </c>
      <c r="Q170" s="74">
        <f t="shared" si="131"/>
        <v>0</v>
      </c>
      <c r="R170" s="74">
        <f t="shared" si="132"/>
        <v>0</v>
      </c>
      <c r="S170" s="74">
        <f t="shared" si="133"/>
        <v>0</v>
      </c>
      <c r="T170" s="77">
        <f t="shared" si="134"/>
        <v>0</v>
      </c>
      <c r="U170" s="74">
        <f t="shared" ref="U170:AF170" si="146">(-$H170+$J170)-U182</f>
        <v>0</v>
      </c>
      <c r="V170" s="74">
        <f t="shared" si="146"/>
        <v>0</v>
      </c>
      <c r="W170" s="74">
        <f t="shared" si="146"/>
        <v>0</v>
      </c>
      <c r="X170" s="74">
        <f t="shared" si="146"/>
        <v>0</v>
      </c>
      <c r="Y170" s="74">
        <f t="shared" si="146"/>
        <v>0</v>
      </c>
      <c r="Z170" s="74">
        <f t="shared" si="146"/>
        <v>0</v>
      </c>
      <c r="AA170" s="74">
        <f t="shared" si="146"/>
        <v>0</v>
      </c>
      <c r="AB170" s="74">
        <f t="shared" si="146"/>
        <v>0</v>
      </c>
      <c r="AC170" s="74">
        <f t="shared" si="146"/>
        <v>0</v>
      </c>
      <c r="AD170" s="74">
        <f t="shared" si="146"/>
        <v>0</v>
      </c>
      <c r="AE170" s="74">
        <f t="shared" si="146"/>
        <v>0</v>
      </c>
      <c r="AF170" s="74">
        <f t="shared" si="146"/>
        <v>0</v>
      </c>
      <c r="AG170" s="77">
        <f t="shared" si="136"/>
        <v>0</v>
      </c>
      <c r="AH170" s="78">
        <f t="shared" si="137"/>
        <v>0</v>
      </c>
      <c r="AI170" s="76"/>
      <c r="AJ170" s="76"/>
    </row>
    <row r="171" spans="1:36" ht="23.25" customHeight="1">
      <c r="A171" s="54"/>
      <c r="B171" s="55" t="s">
        <v>166</v>
      </c>
      <c r="C171" s="86">
        <f>SUM(C161:C170)-IF((C163+C164)&lt;&gt;0,C165,0)</f>
        <v>132560</v>
      </c>
      <c r="D171" s="86">
        <f>SUM(D161:D170)-IF((D163+D164)&lt;&gt;0,D165,0)</f>
        <v>180370</v>
      </c>
      <c r="E171" s="86">
        <f>SUM(E161:E170)-IF((E163+E164)&lt;&gt;0,E165,0)</f>
        <v>99000</v>
      </c>
      <c r="F171" s="87">
        <f t="shared" si="125"/>
        <v>0.54887176359705048</v>
      </c>
      <c r="G171" s="86">
        <f>SUM(G161:G170)-IF((G163+G164)&lt;&gt;0,G165,0)</f>
        <v>88870</v>
      </c>
      <c r="H171" s="86">
        <f>SUM(H161:H170)-IF((H163+H164)&lt;&gt;0,H165,0)</f>
        <v>39774</v>
      </c>
      <c r="I171" s="86">
        <f>SUM(I161:I170)-IF((I163+I164)&lt;&gt;0,I165,0)</f>
        <v>16537</v>
      </c>
      <c r="J171" s="86">
        <f>SUM(J161:J170)-IF((J163+J164)&lt;&gt;0,J165,0)</f>
        <v>278</v>
      </c>
      <c r="K171" s="54"/>
      <c r="L171" s="57">
        <f t="shared" ref="L171:S171" si="147">$G$171-L183</f>
        <v>72280</v>
      </c>
      <c r="M171" s="57">
        <f t="shared" si="147"/>
        <v>64650</v>
      </c>
      <c r="N171" s="57">
        <f t="shared" si="147"/>
        <v>64650</v>
      </c>
      <c r="O171" s="57">
        <f t="shared" si="147"/>
        <v>64650</v>
      </c>
      <c r="P171" s="57">
        <f t="shared" si="147"/>
        <v>64650</v>
      </c>
      <c r="Q171" s="57">
        <f t="shared" si="147"/>
        <v>64650</v>
      </c>
      <c r="R171" s="57">
        <f t="shared" si="147"/>
        <v>64650</v>
      </c>
      <c r="S171" s="57">
        <f t="shared" si="147"/>
        <v>64650</v>
      </c>
      <c r="T171" s="84">
        <f t="shared" si="134"/>
        <v>65603.75</v>
      </c>
      <c r="U171" s="57">
        <f t="shared" ref="U171:AF171" si="148">(-$H171+$J171)-U183</f>
        <v>-50586</v>
      </c>
      <c r="V171" s="57">
        <f t="shared" si="148"/>
        <v>-50586</v>
      </c>
      <c r="W171" s="57">
        <f t="shared" si="148"/>
        <v>-50586</v>
      </c>
      <c r="X171" s="57">
        <f t="shared" si="148"/>
        <v>-50586</v>
      </c>
      <c r="Y171" s="57">
        <f t="shared" si="148"/>
        <v>-50586</v>
      </c>
      <c r="Z171" s="57">
        <f t="shared" si="148"/>
        <v>-50586</v>
      </c>
      <c r="AA171" s="57">
        <f t="shared" si="148"/>
        <v>-50586</v>
      </c>
      <c r="AB171" s="57">
        <f t="shared" si="148"/>
        <v>-50586</v>
      </c>
      <c r="AC171" s="57">
        <f t="shared" si="148"/>
        <v>-50586</v>
      </c>
      <c r="AD171" s="57">
        <f t="shared" si="148"/>
        <v>-50586</v>
      </c>
      <c r="AE171" s="57">
        <f t="shared" si="148"/>
        <v>-50586</v>
      </c>
      <c r="AF171" s="57">
        <f t="shared" si="148"/>
        <v>-50586</v>
      </c>
      <c r="AG171" s="84">
        <f t="shared" si="136"/>
        <v>-50586</v>
      </c>
      <c r="AH171" s="57">
        <f t="shared" si="137"/>
        <v>-4110.1000000000004</v>
      </c>
      <c r="AI171" s="54"/>
      <c r="AJ171" s="54"/>
    </row>
    <row r="172" spans="1:36" ht="40.5" customHeight="1">
      <c r="A172" s="476" t="s">
        <v>167</v>
      </c>
      <c r="B172" s="476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</row>
    <row r="173" spans="1:36" ht="15" customHeight="1">
      <c r="A173" s="43">
        <v>1</v>
      </c>
      <c r="B173" s="73" t="s">
        <v>36</v>
      </c>
      <c r="C173" s="74">
        <f t="shared" ref="C173:J182" si="149">C161</f>
        <v>28694</v>
      </c>
      <c r="D173" s="74">
        <f t="shared" si="149"/>
        <v>34755</v>
      </c>
      <c r="E173" s="74">
        <f t="shared" si="149"/>
        <v>29782</v>
      </c>
      <c r="F173" s="75">
        <f t="shared" si="149"/>
        <v>0.85691267443533303</v>
      </c>
      <c r="G173" s="74">
        <f t="shared" si="149"/>
        <v>4973</v>
      </c>
      <c r="H173" s="74">
        <f t="shared" si="149"/>
        <v>23400</v>
      </c>
      <c r="I173" s="74">
        <f t="shared" si="149"/>
        <v>0</v>
      </c>
      <c r="J173" s="74">
        <f t="shared" si="149"/>
        <v>0</v>
      </c>
      <c r="K173" s="76"/>
      <c r="L173" s="74">
        <f>SUMIFS(J6:J65,F6:F65,$B$173,G6:G65,"&lt;"&amp;DATE(2026,6,1),D6:D65,"Closed Won")+SUMIFS(J6:J65,F6:F65,$B$173,G6:G65,"&lt;"&amp;DATE(2026,6,1),D6:D65,"Contract Negotiation")+SUMIFS(J6:J65,F6:F65,$B$173,G6:G65,"&lt;"&amp;DATE(2026,6,1),D6:D65,"Shortlisted")</f>
        <v>300</v>
      </c>
      <c r="M173" s="74">
        <f>SUMIFS(J6:J65,F6:F65,$B$173,G6:G65,"&lt;"&amp;DATE(2026,7,1),D6:D65,"Closed Won")+SUMIFS(J6:J65,F6:F65,$B$173,G6:G65,"&lt;"&amp;DATE(2026,7,1),D6:D65,"Contract Negotiation")+SUMIFS(J6:J65,F6:F65,$B$173,G6:G65,"&lt;"&amp;DATE(2026,7,1),D6:D65,"Shortlisted")</f>
        <v>300</v>
      </c>
      <c r="N173" s="74">
        <f>SUMIFS(J6:J65,F6:F65,$B$173,G6:G65,"&lt;"&amp;DATE(2026,8,1),D6:D65,"Closed Won")+SUMIFS(J6:J65,F6:F65,$B$173,G6:G65,"&lt;"&amp;DATE(2026,8,1),D6:D65,"Contract Negotiation")+SUMIFS(J6:J65,F6:F65,$B$173,G6:G65,"&lt;"&amp;DATE(2026,8,1),D6:D65,"Shortlisted")</f>
        <v>300</v>
      </c>
      <c r="O173" s="74">
        <f>SUMIFS(J6:J65,F6:F65,$B$173,G6:G65,"&lt;"&amp;DATE(2026,9,1),D6:D65,"Closed Won")+SUMIFS(J6:J65,F6:F65,$B$173,G6:G65,"&lt;"&amp;DATE(2026,9,1),D6:D65,"Contract Negotiation")+SUMIFS(J6:J65,F6:F65,$B$173,G6:G65,"&lt;"&amp;DATE(2026,9,1),D6:D65,"Shortlisted")</f>
        <v>300</v>
      </c>
      <c r="P173" s="74">
        <f>SUMIFS(J6:J65,F6:F65,$B$173,G6:G65,"&lt;"&amp;DATE(2026,10,1),D6:D65,"Closed Won")+SUMIFS(J6:J65,F6:F65,$B$173,G6:G65,"&lt;"&amp;DATE(2026,10,1),D6:D65,"Contract Negotiation")+SUMIFS(J6:J65,F6:F65,$B$173,G6:G65,"&lt;"&amp;DATE(2026,10,1),D6:D65,"Shortlisted")</f>
        <v>300</v>
      </c>
      <c r="Q173" s="74">
        <f>SUMIFS(J6:J65,F6:F65,$B$173,G6:G65,"&lt;"&amp;DATE(2026,11,1),D6:D65,"Closed Won")+SUMIFS(J6:J65,F6:F65,$B$173,G6:G65,"&lt;"&amp;DATE(2026,11,1),D6:D65,"Contract Negotiation")+SUMIFS(J6:J65,F6:F65,$B$173,G6:G65,"&lt;"&amp;DATE(2026,11,1),D6:D65,"Shortlisted")</f>
        <v>300</v>
      </c>
      <c r="R173" s="74">
        <f>SUMIFS(J6:J65,F6:F65,$B$173,G6:G65,"&lt;"&amp;DATE(2026,12,1),D6:D65,"Closed Won")+SUMIFS(J6:J65,F6:F65,$B$173,G6:G65,"&lt;"&amp;DATE(2026,12,1),D6:D65,"Contract Negotiation")+SUMIFS(J6:J65,F6:F65,$B$173,G6:G65,"&lt;"&amp;DATE(2026,12,1),D6:D65,"Shortlisted")</f>
        <v>300</v>
      </c>
      <c r="S173" s="74">
        <f>SUMIFS(J6:J65,F6:F65,$B$173,G6:G65,"&lt;"&amp;DATE(2027,1,1),D6:D65,"Closed Won")+SUMIFS(J6:J65,F6:F65,$B$173,G6:G65,"&lt;"&amp;DATE(2027,1,1),D6:D65,"Contract Negotiation")+SUMIFS(J6:J65,F6:F65,$B$173,G6:G65,"&lt;"&amp;DATE(2027,1,1),D6:D65,"Shortlisted")</f>
        <v>300</v>
      </c>
      <c r="T173" s="77">
        <f t="shared" ref="T173:T184" si="150">IFERROR(AVERAGE(L173:S173),0)</f>
        <v>300</v>
      </c>
      <c r="U173" s="74">
        <f>SUMIFS(J6:J65,F6:F65,$B$173,G6:G65,"&lt;"&amp;DATE(2027,2,1),D6:D65,"Closed Won")</f>
        <v>300</v>
      </c>
      <c r="V173" s="74">
        <f>SUMIFS(J6:J65,F6:F65,$B$173,G6:G65,"&lt;"&amp;DATE(2027,3,1),D6:D65,"Closed Won")</f>
        <v>300</v>
      </c>
      <c r="W173" s="74">
        <f>SUMIFS(J6:J65,F6:F65,$B$173,G6:G65,"&lt;"&amp;DATE(2027,4,1),D6:D65,"Closed Won")</f>
        <v>300</v>
      </c>
      <c r="X173" s="74">
        <f>SUMIFS(J6:J65,F6:F65,$B$173,G6:G65,"&lt;"&amp;DATE(2027,5,1),D6:D65,"Closed Won")</f>
        <v>300</v>
      </c>
      <c r="Y173" s="74">
        <f>SUMIFS(J6:J65,F6:F65,$B$173,G6:G65,"&lt;"&amp;DATE(2027,6,1),D6:D65,"Closed Won")</f>
        <v>300</v>
      </c>
      <c r="Z173" s="74">
        <f>SUMIFS(J6:J65,F6:F65,$B$173,G6:G65,"&lt;"&amp;DATE(2027,7,1),D6:D65,"Closed Won")</f>
        <v>300</v>
      </c>
      <c r="AA173" s="74">
        <f>SUMIFS(J6:J65,F6:F65,$B$173,G6:G65,"&lt;"&amp;DATE(2027,8,1),D6:D65,"Closed Won")</f>
        <v>300</v>
      </c>
      <c r="AB173" s="74">
        <f>SUMIFS(J6:J65,F6:F65,$B$173,G6:G65,"&lt;"&amp;DATE(2027,9,1),D6:D65,"Closed Won")</f>
        <v>300</v>
      </c>
      <c r="AC173" s="74">
        <f>SUMIFS(J6:J65,F6:F65,$B$173,G6:G65,"&lt;"&amp;DATE(2027,10,1),D6:D65,"Closed Won")</f>
        <v>300</v>
      </c>
      <c r="AD173" s="74">
        <f>SUMIFS(J6:J65,F6:F65,$B$173,G6:G65,"&lt;"&amp;DATE(2027,11,1),D6:D65,"Closed Won")</f>
        <v>300</v>
      </c>
      <c r="AE173" s="74">
        <f>SUMIFS(J6:J65,F6:F65,$B$173,G6:G65,"&lt;"&amp;DATE(2027,12,1),D6:D65,"Closed Won")</f>
        <v>300</v>
      </c>
      <c r="AF173" s="74">
        <f>SUMIFS(J6:J65,F6:F65,$B$173,G6:G65,"&lt;"&amp;DATE(2028,1,1),D6:D65,"Closed Won")</f>
        <v>300</v>
      </c>
      <c r="AG173" s="77">
        <f t="shared" ref="AG173:AG184" si="151">IFERROR(AVERAGE(U173:AF173),0)</f>
        <v>300</v>
      </c>
      <c r="AH173" s="78">
        <f t="shared" ref="AH173:AH184" si="152">IFERROR(AVERAGE(L173:S173,U173:AF173),0)</f>
        <v>300</v>
      </c>
      <c r="AI173" s="76"/>
      <c r="AJ173" s="76"/>
    </row>
    <row r="174" spans="1:36" ht="15" customHeight="1">
      <c r="A174" s="43">
        <v>2</v>
      </c>
      <c r="B174" s="73" t="s">
        <v>165</v>
      </c>
      <c r="C174" s="74">
        <f t="shared" si="149"/>
        <v>16153</v>
      </c>
      <c r="D174" s="74">
        <f t="shared" si="149"/>
        <v>18654</v>
      </c>
      <c r="E174" s="74">
        <f t="shared" si="149"/>
        <v>8607</v>
      </c>
      <c r="F174" s="75">
        <f t="shared" si="149"/>
        <v>0.46140238018655516</v>
      </c>
      <c r="G174" s="74">
        <f t="shared" si="149"/>
        <v>10047</v>
      </c>
      <c r="H174" s="74">
        <f t="shared" si="149"/>
        <v>0</v>
      </c>
      <c r="I174" s="74">
        <f t="shared" si="149"/>
        <v>3619</v>
      </c>
      <c r="J174" s="74">
        <f t="shared" si="149"/>
        <v>0</v>
      </c>
      <c r="K174" s="76"/>
      <c r="L174" s="74">
        <f>SUMIFS(J6:J65,F6:F65,$B$174,G6:G65,"&lt;"&amp;DATE(2026,6,1),D6:D65,"Closed Won")+SUMIFS(J6:J65,F6:F65,$B$174,G6:G65,"&lt;"&amp;DATE(2026,6,1),D6:D65,"Contract Negotiation")+SUMIFS(J6:J65,F6:F65,$B$174,G6:G65,"&lt;"&amp;DATE(2026,6,1),D6:D65,"Shortlisted")</f>
        <v>3090</v>
      </c>
      <c r="M174" s="74">
        <f>SUMIFS(J6:J65,F6:F65,$B$174,G6:G65,"&lt;"&amp;DATE(2026,7,1),D6:D65,"Closed Won")+SUMIFS(J6:J65,F6:F65,$B$174,G6:G65,"&lt;"&amp;DATE(2026,7,1),D6:D65,"Contract Negotiation")+SUMIFS(J6:J65,F6:F65,$B$174,G6:G65,"&lt;"&amp;DATE(2026,7,1),D6:D65,"Shortlisted")</f>
        <v>7090</v>
      </c>
      <c r="N174" s="74">
        <f>SUMIFS(J6:J65,F6:F65,$B$174,G6:G65,"&lt;"&amp;DATE(2026,8,1),D6:D65,"Closed Won")+SUMIFS(J6:J65,F6:F65,$B$174,G6:G65,"&lt;"&amp;DATE(2026,8,1),D6:D65,"Contract Negotiation")+SUMIFS(J6:J65,F6:F65,$B$174,G6:G65,"&lt;"&amp;DATE(2026,8,1),D6:D65,"Shortlisted")</f>
        <v>7090</v>
      </c>
      <c r="O174" s="74">
        <f>SUMIFS(J6:J65,F6:F65,$B$174,G6:G65,"&lt;"&amp;DATE(2026,9,1),D6:D65,"Closed Won")+SUMIFS(J6:J65,F6:F65,$B$174,G6:G65,"&lt;"&amp;DATE(2026,9,1),D6:D65,"Contract Negotiation")+SUMIFS(J6:J65,F6:F65,$B$174,G6:G65,"&lt;"&amp;DATE(2026,9,1),D6:D65,"Shortlisted")</f>
        <v>7090</v>
      </c>
      <c r="P174" s="74">
        <f>SUMIFS(J6:J65,F6:F65,$B$174,G6:G65,"&lt;"&amp;DATE(2026,10,1),D6:D65,"Closed Won")+SUMIFS(J6:J65,F6:F65,$B$174,G6:G65,"&lt;"&amp;DATE(2026,10,1),D6:D65,"Contract Negotiation")+SUMIFS(J6:J65,F6:F65,$B$174,G6:G65,"&lt;"&amp;DATE(2026,10,1),D6:D65,"Shortlisted")</f>
        <v>7090</v>
      </c>
      <c r="Q174" s="74">
        <f>SUMIFS(J6:J65,F6:F65,$B$174,G6:G65,"&lt;"&amp;DATE(2026,11,1),D6:D65,"Closed Won")+SUMIFS(J6:J65,F6:F65,$B$174,G6:G65,"&lt;"&amp;DATE(2026,11,1),D6:D65,"Contract Negotiation")+SUMIFS(J6:J65,F6:F65,$B$174,G6:G65,"&lt;"&amp;DATE(2026,11,1),D6:D65,"Shortlisted")</f>
        <v>7090</v>
      </c>
      <c r="R174" s="74">
        <f>SUMIFS(J6:J65,F6:F65,$B$174,G6:G65,"&lt;"&amp;DATE(2026,12,1),D6:D65,"Closed Won")+SUMIFS(J6:J65,F6:F65,$B$174,G6:G65,"&lt;"&amp;DATE(2026,12,1),D6:D65,"Contract Negotiation")+SUMIFS(J6:J65,F6:F65,$B$174,G6:G65,"&lt;"&amp;DATE(2026,12,1),D6:D65,"Shortlisted")</f>
        <v>7090</v>
      </c>
      <c r="S174" s="74">
        <f>SUMIFS(J6:J65,F6:F65,$B$174,G6:G65,"&lt;"&amp;DATE(2027,1,1),D6:D65,"Closed Won")+SUMIFS(J6:J65,F6:F65,$B$174,G6:G65,"&lt;"&amp;DATE(2027,1,1),D6:D65,"Contract Negotiation")+SUMIFS(J6:J65,F6:F65,$B$174,G6:G65,"&lt;"&amp;DATE(2027,1,1),D6:D65,"Shortlisted")</f>
        <v>7090</v>
      </c>
      <c r="T174" s="77">
        <f t="shared" si="150"/>
        <v>6590</v>
      </c>
      <c r="U174" s="74">
        <f>SUMIFS(J6:J65,F6:F65,$B$174,G6:G65,"&lt;"&amp;DATE(2027,2,1),D6:D65,"Closed Won")</f>
        <v>1590</v>
      </c>
      <c r="V174" s="74">
        <f>SUMIFS(J6:J65,F6:F65,$B$174,G6:G65,"&lt;"&amp;DATE(2027,3,1),D6:D65,"Closed Won")</f>
        <v>1590</v>
      </c>
      <c r="W174" s="74">
        <f>SUMIFS(J6:J65,F6:F65,$B$174,G6:G65,"&lt;"&amp;DATE(2027,4,1),D6:D65,"Closed Won")</f>
        <v>1590</v>
      </c>
      <c r="X174" s="74">
        <f>SUMIFS(J6:J65,F6:F65,$B$174,G6:G65,"&lt;"&amp;DATE(2027,5,1),D6:D65,"Closed Won")</f>
        <v>1590</v>
      </c>
      <c r="Y174" s="74">
        <f>SUMIFS(J6:J65,F6:F65,$B$174,G6:G65,"&lt;"&amp;DATE(2027,6,1),D6:D65,"Closed Won")</f>
        <v>1590</v>
      </c>
      <c r="Z174" s="74">
        <f>SUMIFS(J6:J65,F6:F65,$B$174,G6:G65,"&lt;"&amp;DATE(2027,7,1),D6:D65,"Closed Won")</f>
        <v>1590</v>
      </c>
      <c r="AA174" s="74">
        <f>SUMIFS(J6:J65,F6:F65,$B$174,G6:G65,"&lt;"&amp;DATE(2027,8,1),D6:D65,"Closed Won")</f>
        <v>1590</v>
      </c>
      <c r="AB174" s="74">
        <f>SUMIFS(J6:J65,F6:F65,$B$174,G6:G65,"&lt;"&amp;DATE(2027,9,1),D6:D65,"Closed Won")</f>
        <v>1590</v>
      </c>
      <c r="AC174" s="74">
        <f>SUMIFS(J6:J65,F6:F65,$B$174,G6:G65,"&lt;"&amp;DATE(2027,10,1),D6:D65,"Closed Won")</f>
        <v>1590</v>
      </c>
      <c r="AD174" s="74">
        <f>SUMIFS(J6:J65,F6:F65,$B$174,G6:G65,"&lt;"&amp;DATE(2027,11,1),D6:D65,"Closed Won")</f>
        <v>1590</v>
      </c>
      <c r="AE174" s="74">
        <f>SUMIFS(J6:J65,F6:F65,$B$174,G6:G65,"&lt;"&amp;DATE(2027,12,1),D6:D65,"Closed Won")</f>
        <v>1590</v>
      </c>
      <c r="AF174" s="74">
        <f>SUMIFS(J6:J65,F6:F65,$B$174,G6:G65,"&lt;"&amp;DATE(2028,1,1),D6:D65,"Closed Won")</f>
        <v>1590</v>
      </c>
      <c r="AG174" s="77">
        <f t="shared" si="151"/>
        <v>1590</v>
      </c>
      <c r="AH174" s="78">
        <f t="shared" si="152"/>
        <v>3590</v>
      </c>
      <c r="AI174" s="76"/>
      <c r="AJ174" s="76"/>
    </row>
    <row r="175" spans="1:36" ht="15" customHeight="1">
      <c r="A175" s="43">
        <v>3</v>
      </c>
      <c r="B175" s="73" t="s">
        <v>38</v>
      </c>
      <c r="C175" s="74">
        <f t="shared" si="149"/>
        <v>31172</v>
      </c>
      <c r="D175" s="74">
        <f t="shared" si="149"/>
        <v>35542</v>
      </c>
      <c r="E175" s="74">
        <f t="shared" si="149"/>
        <v>11836</v>
      </c>
      <c r="F175" s="75">
        <f t="shared" si="149"/>
        <v>0.33301446176354738</v>
      </c>
      <c r="G175" s="74">
        <f t="shared" si="149"/>
        <v>23706</v>
      </c>
      <c r="H175" s="74">
        <f t="shared" si="149"/>
        <v>13157</v>
      </c>
      <c r="I175" s="74">
        <f t="shared" si="149"/>
        <v>146</v>
      </c>
      <c r="J175" s="74">
        <f t="shared" si="149"/>
        <v>144</v>
      </c>
      <c r="K175" s="76"/>
      <c r="L175" s="74">
        <f>SUMIFS(J6:J65,F6:F65,$B$175,G6:G65,"&lt;"&amp;DATE(2026,6,1),D6:D65,"Closed Won")+SUMIFS(J6:J65,F6:F65,$B$175,G6:G65,"&lt;"&amp;DATE(2026,6,1),D6:D65,"Contract Negotiation")+SUMIFS(J6:J65,F6:F65,$B$175,G6:G65,"&lt;"&amp;DATE(2026,6,1),D6:D65,"Shortlisted")</f>
        <v>2200</v>
      </c>
      <c r="M175" s="74">
        <f>SUMIFS(J6:J65,F6:F65,$B$175,G6:G65,"&lt;"&amp;DATE(2026,7,1),D6:D65,"Closed Won")+SUMIFS(J6:J65,F6:F65,$B$175,G6:G65,"&lt;"&amp;DATE(2026,7,1),D6:D65,"Contract Negotiation")+SUMIFS(J6:J65,F6:F65,$B$175,G6:G65,"&lt;"&amp;DATE(2026,7,1),D6:D65,"Shortlisted")</f>
        <v>4330</v>
      </c>
      <c r="N175" s="74">
        <f>SUMIFS(J6:J65,F6:F65,$B$175,G6:G65,"&lt;"&amp;DATE(2026,8,1),D6:D65,"Closed Won")+SUMIFS(J6:J65,F6:F65,$B$175,G6:G65,"&lt;"&amp;DATE(2026,8,1),D6:D65,"Contract Negotiation")+SUMIFS(J6:J65,F6:F65,$B$175,G6:G65,"&lt;"&amp;DATE(2026,8,1),D6:D65,"Shortlisted")</f>
        <v>4330</v>
      </c>
      <c r="O175" s="74">
        <f>SUMIFS(J6:J65,F6:F65,$B$175,G6:G65,"&lt;"&amp;DATE(2026,9,1),D6:D65,"Closed Won")+SUMIFS(J6:J65,F6:F65,$B$175,G6:G65,"&lt;"&amp;DATE(2026,9,1),D6:D65,"Contract Negotiation")+SUMIFS(J6:J65,F6:F65,$B$175,G6:G65,"&lt;"&amp;DATE(2026,9,1),D6:D65,"Shortlisted")</f>
        <v>4330</v>
      </c>
      <c r="P175" s="74">
        <f>SUMIFS(J6:J65,F6:F65,$B$175,G6:G65,"&lt;"&amp;DATE(2026,10,1),D6:D65,"Closed Won")+SUMIFS(J6:J65,F6:F65,$B$175,G6:G65,"&lt;"&amp;DATE(2026,10,1),D6:D65,"Contract Negotiation")+SUMIFS(J6:J65,F6:F65,$B$175,G6:G65,"&lt;"&amp;DATE(2026,10,1),D6:D65,"Shortlisted")</f>
        <v>4330</v>
      </c>
      <c r="Q175" s="74">
        <f>SUMIFS(J6:J65,F6:F65,$B$175,G6:G65,"&lt;"&amp;DATE(2026,11,1),D6:D65,"Closed Won")+SUMIFS(J6:J65,F6:F65,$B$175,G6:G65,"&lt;"&amp;DATE(2026,11,1),D6:D65,"Contract Negotiation")+SUMIFS(J6:J65,F6:F65,$B$175,G6:G65,"&lt;"&amp;DATE(2026,11,1),D6:D65,"Shortlisted")</f>
        <v>4330</v>
      </c>
      <c r="R175" s="74">
        <f>SUMIFS(J6:J65,F6:F65,$B$175,G6:G65,"&lt;"&amp;DATE(2026,12,1),D6:D65,"Closed Won")+SUMIFS(J6:J65,F6:F65,$B$175,G6:G65,"&lt;"&amp;DATE(2026,12,1),D6:D65,"Contract Negotiation")+SUMIFS(J6:J65,F6:F65,$B$175,G6:G65,"&lt;"&amp;DATE(2026,12,1),D6:D65,"Shortlisted")</f>
        <v>4330</v>
      </c>
      <c r="S175" s="74">
        <f>SUMIFS(J6:J65,F6:F65,$B$175,G6:G65,"&lt;"&amp;DATE(2027,1,1),D6:D65,"Closed Won")+SUMIFS(J6:J65,F6:F65,$B$175,G6:G65,"&lt;"&amp;DATE(2027,1,1),D6:D65,"Contract Negotiation")+SUMIFS(J6:J65,F6:F65,$B$175,G6:G65,"&lt;"&amp;DATE(2027,1,1),D6:D65,"Shortlisted")</f>
        <v>4330</v>
      </c>
      <c r="T175" s="77">
        <f t="shared" si="150"/>
        <v>4063.75</v>
      </c>
      <c r="U175" s="74">
        <f>SUMIFS(J6:J65,F6:F65,$B$175,G6:G65,"&lt;"&amp;DATE(2027,2,1),D6:D65,"Closed Won")</f>
        <v>1200</v>
      </c>
      <c r="V175" s="74">
        <f>SUMIFS(J6:J65,F6:F65,$B$175,G6:G65,"&lt;"&amp;DATE(2027,3,1),D6:D65,"Closed Won")</f>
        <v>1200</v>
      </c>
      <c r="W175" s="74">
        <f>SUMIFS(J6:J65,F6:F65,$B$175,G6:G65,"&lt;"&amp;DATE(2027,4,1),D6:D65,"Closed Won")</f>
        <v>1200</v>
      </c>
      <c r="X175" s="74">
        <f>SUMIFS(J6:J65,F6:F65,$B$175,G6:G65,"&lt;"&amp;DATE(2027,5,1),D6:D65,"Closed Won")</f>
        <v>1200</v>
      </c>
      <c r="Y175" s="74">
        <f>SUMIFS(J6:J65,F6:F65,$B$175,G6:G65,"&lt;"&amp;DATE(2027,6,1),D6:D65,"Closed Won")</f>
        <v>1200</v>
      </c>
      <c r="Z175" s="74">
        <f>SUMIFS(J6:J65,F6:F65,$B$175,G6:G65,"&lt;"&amp;DATE(2027,7,1),D6:D65,"Closed Won")</f>
        <v>1200</v>
      </c>
      <c r="AA175" s="74">
        <f>SUMIFS(J6:J65,F6:F65,$B$175,G6:G65,"&lt;"&amp;DATE(2027,8,1),D6:D65,"Closed Won")</f>
        <v>1200</v>
      </c>
      <c r="AB175" s="74">
        <f>SUMIFS(J6:J65,F6:F65,$B$175,G6:G65,"&lt;"&amp;DATE(2027,9,1),D6:D65,"Closed Won")</f>
        <v>1200</v>
      </c>
      <c r="AC175" s="74">
        <f>SUMIFS(J6:J65,F6:F65,$B$175,G6:G65,"&lt;"&amp;DATE(2027,10,1),D6:D65,"Closed Won")</f>
        <v>1200</v>
      </c>
      <c r="AD175" s="74">
        <f>SUMIFS(J6:J65,F6:F65,$B$175,G6:G65,"&lt;"&amp;DATE(2027,11,1),D6:D65,"Closed Won")</f>
        <v>1200</v>
      </c>
      <c r="AE175" s="74">
        <f>SUMIFS(J6:J65,F6:F65,$B$175,G6:G65,"&lt;"&amp;DATE(2027,12,1),D6:D65,"Closed Won")</f>
        <v>1200</v>
      </c>
      <c r="AF175" s="74">
        <f>SUMIFS(J6:J65,F6:F65,$B$175,G6:G65,"&lt;"&amp;DATE(2028,1,1),D6:D65,"Closed Won")</f>
        <v>1200</v>
      </c>
      <c r="AG175" s="77">
        <f t="shared" si="151"/>
        <v>1200</v>
      </c>
      <c r="AH175" s="78">
        <f t="shared" si="152"/>
        <v>2345.5</v>
      </c>
      <c r="AI175" s="76"/>
      <c r="AJ175" s="76"/>
    </row>
    <row r="176" spans="1:36" ht="15" customHeight="1">
      <c r="A176" s="43">
        <v>4</v>
      </c>
      <c r="B176" s="73" t="s">
        <v>39</v>
      </c>
      <c r="C176" s="74">
        <f t="shared" si="149"/>
        <v>8152</v>
      </c>
      <c r="D176" s="74">
        <f t="shared" si="149"/>
        <v>29258</v>
      </c>
      <c r="E176" s="74">
        <f t="shared" si="149"/>
        <v>10011</v>
      </c>
      <c r="F176" s="75">
        <f t="shared" si="149"/>
        <v>0.34216282726092007</v>
      </c>
      <c r="G176" s="74">
        <f t="shared" si="149"/>
        <v>19247</v>
      </c>
      <c r="H176" s="74">
        <f t="shared" si="149"/>
        <v>0</v>
      </c>
      <c r="I176" s="74">
        <f t="shared" si="149"/>
        <v>0</v>
      </c>
      <c r="J176" s="74">
        <f t="shared" si="149"/>
        <v>0</v>
      </c>
      <c r="K176" s="76"/>
      <c r="L176" s="74">
        <f>SUMIFS(J6:J65,F6:F65,$B$176,G6:G65,"&lt;"&amp;DATE(2026,6,1),D6:D65,"Closed Won")+SUMIFS(J6:J65,F6:F65,$B$176,G6:G65,"&lt;"&amp;DATE(2026,6,1),D6:D65,"Contract Negotiation")+SUMIFS(J6:J65,F6:F65,$B$176,G6:G65,"&lt;"&amp;DATE(2026,6,1),D6:D65,"Shortlisted")</f>
        <v>0</v>
      </c>
      <c r="M176" s="74">
        <f>SUMIFS(J6:J65,F6:F65,$B$176,G6:G65,"&lt;"&amp;DATE(2026,7,1),D6:D65,"Closed Won")+SUMIFS(J6:J65,F6:F65,$B$176,G6:G65,"&lt;"&amp;DATE(2026,7,1),D6:D65,"Contract Negotiation")+SUMIFS(J6:J65,F6:F65,$B$176,G6:G65,"&lt;"&amp;DATE(2026,7,1),D6:D65,"Shortlisted")</f>
        <v>0</v>
      </c>
      <c r="N176" s="74">
        <f>SUMIFS(J6:J65,F6:F65,$B$176,G6:G65,"&lt;"&amp;DATE(2026,8,1),D6:D65,"Closed Won")+SUMIFS(J6:J65,F6:F65,$B$176,G6:G65,"&lt;"&amp;DATE(2026,8,1),D6:D65,"Contract Negotiation")+SUMIFS(J6:J65,F6:F65,$B$176,G6:G65,"&lt;"&amp;DATE(2026,8,1),D6:D65,"Shortlisted")</f>
        <v>0</v>
      </c>
      <c r="O176" s="74">
        <f>SUMIFS(J6:J65,F6:F65,$B$176,G6:G65,"&lt;"&amp;DATE(2026,9,1),D6:D65,"Closed Won")+SUMIFS(J6:J65,F6:F65,$B$176,G6:G65,"&lt;"&amp;DATE(2026,9,1),D6:D65,"Contract Negotiation")+SUMIFS(J6:J65,F6:F65,$B$176,G6:G65,"&lt;"&amp;DATE(2026,9,1),D6:D65,"Shortlisted")</f>
        <v>0</v>
      </c>
      <c r="P176" s="74">
        <f>SUMIFS(J6:J65,F6:F65,$B$176,G6:G65,"&lt;"&amp;DATE(2026,10,1),D6:D65,"Closed Won")+SUMIFS(J6:J65,F6:F65,$B$176,G6:G65,"&lt;"&amp;DATE(2026,10,1),D6:D65,"Contract Negotiation")+SUMIFS(J6:J65,F6:F65,$B$176,G6:G65,"&lt;"&amp;DATE(2026,10,1),D6:D65,"Shortlisted")</f>
        <v>0</v>
      </c>
      <c r="Q176" s="74">
        <f>SUMIFS(J6:J65,F6:F65,$B$176,G6:G65,"&lt;"&amp;DATE(2026,11,1),D6:D65,"Closed Won")+SUMIFS(J6:J65,F6:F65,$B$176,G6:G65,"&lt;"&amp;DATE(2026,11,1),D6:D65,"Contract Negotiation")+SUMIFS(J6:J65,F6:F65,$B$176,G6:G65,"&lt;"&amp;DATE(2026,11,1),D6:D65,"Shortlisted")</f>
        <v>0</v>
      </c>
      <c r="R176" s="74">
        <f>SUMIFS(J6:J65,F6:F65,$B$176,G6:G65,"&lt;"&amp;DATE(2026,12,1),D6:D65,"Closed Won")+SUMIFS(J6:J65,F6:F65,$B$176,G6:G65,"&lt;"&amp;DATE(2026,12,1),D6:D65,"Contract Negotiation")+SUMIFS(J6:J65,F6:F65,$B$176,G6:G65,"&lt;"&amp;DATE(2026,12,1),D6:D65,"Shortlisted")</f>
        <v>0</v>
      </c>
      <c r="S176" s="74">
        <f>SUMIFS(J6:J65,F6:F65,$B$176,G6:G65,"&lt;"&amp;DATE(2027,1,1),D6:D65,"Closed Won")+SUMIFS(J6:J65,F6:F65,$B$176,G6:G65,"&lt;"&amp;DATE(2027,1,1),D6:D65,"Contract Negotiation")+SUMIFS(J6:J65,F6:F65,$B$176,G6:G65,"&lt;"&amp;DATE(2027,1,1),D6:D65,"Shortlisted")</f>
        <v>0</v>
      </c>
      <c r="T176" s="77">
        <f t="shared" si="150"/>
        <v>0</v>
      </c>
      <c r="U176" s="74">
        <f>SUMIFS(J6:J65,F6:F65,$B$176,G6:G65,"&lt;"&amp;DATE(2027,2,1),D6:D65,"Closed Won")</f>
        <v>0</v>
      </c>
      <c r="V176" s="74">
        <f>SUMIFS(J6:J65,F6:F65,$B$176,G6:G65,"&lt;"&amp;DATE(2027,3,1),D6:D65,"Closed Won")</f>
        <v>0</v>
      </c>
      <c r="W176" s="74">
        <f>SUMIFS(J6:J65,F6:F65,$B$176,G6:G65,"&lt;"&amp;DATE(2027,4,1),D6:D65,"Closed Won")</f>
        <v>0</v>
      </c>
      <c r="X176" s="74">
        <f>SUMIFS(J6:J65,F6:F65,$B$176,G6:G65,"&lt;"&amp;DATE(2027,5,1),D6:D65,"Closed Won")</f>
        <v>0</v>
      </c>
      <c r="Y176" s="74">
        <f>SUMIFS(J6:J65,F6:F65,$B$176,G6:G65,"&lt;"&amp;DATE(2027,6,1),D6:D65,"Closed Won")</f>
        <v>0</v>
      </c>
      <c r="Z176" s="74">
        <f>SUMIFS(J6:J65,F6:F65,$B$176,G6:G65,"&lt;"&amp;DATE(2027,7,1),D6:D65,"Closed Won")</f>
        <v>0</v>
      </c>
      <c r="AA176" s="74">
        <f>SUMIFS(J6:J65,F6:F65,$B$176,G6:G65,"&lt;"&amp;DATE(2027,8,1),D6:D65,"Closed Won")</f>
        <v>0</v>
      </c>
      <c r="AB176" s="74">
        <f>SUMIFS(J6:J65,F6:F65,$B$176,G6:G65,"&lt;"&amp;DATE(2027,9,1),D6:D65,"Closed Won")</f>
        <v>0</v>
      </c>
      <c r="AC176" s="74">
        <f>SUMIFS(J6:J65,F6:F65,$B$176,G6:G65,"&lt;"&amp;DATE(2027,10,1),D6:D65,"Closed Won")</f>
        <v>0</v>
      </c>
      <c r="AD176" s="74">
        <f>SUMIFS(J6:J65,F6:F65,$B$176,G6:G65,"&lt;"&amp;DATE(2027,11,1),D6:D65,"Closed Won")</f>
        <v>0</v>
      </c>
      <c r="AE176" s="74">
        <f>SUMIFS(J6:J65,F6:F65,$B$176,G6:G65,"&lt;"&amp;DATE(2027,12,1),D6:D65,"Closed Won")</f>
        <v>0</v>
      </c>
      <c r="AF176" s="74">
        <f>SUMIFS(J6:J65,F6:F65,$B$176,G6:G65,"&lt;"&amp;DATE(2028,1,1),D6:D65,"Closed Won")</f>
        <v>0</v>
      </c>
      <c r="AG176" s="77">
        <f t="shared" si="151"/>
        <v>0</v>
      </c>
      <c r="AH176" s="78">
        <f t="shared" si="152"/>
        <v>0</v>
      </c>
      <c r="AI176" s="76"/>
      <c r="AJ176" s="76"/>
    </row>
    <row r="177" spans="1:36" ht="15" customHeight="1">
      <c r="A177" s="79">
        <v>5</v>
      </c>
      <c r="B177" s="80" t="s">
        <v>40</v>
      </c>
      <c r="C177" s="81">
        <f t="shared" si="149"/>
        <v>39324</v>
      </c>
      <c r="D177" s="81">
        <f t="shared" si="149"/>
        <v>64800</v>
      </c>
      <c r="E177" s="81">
        <f t="shared" si="149"/>
        <v>21847</v>
      </c>
      <c r="F177" s="82">
        <f t="shared" si="149"/>
        <v>0.33714506172839503</v>
      </c>
      <c r="G177" s="81">
        <f t="shared" si="149"/>
        <v>42953</v>
      </c>
      <c r="H177" s="81">
        <f t="shared" si="149"/>
        <v>13157</v>
      </c>
      <c r="I177" s="81">
        <f t="shared" si="149"/>
        <v>146</v>
      </c>
      <c r="J177" s="81">
        <f t="shared" si="149"/>
        <v>144</v>
      </c>
      <c r="K177" s="54"/>
      <c r="L177" s="81">
        <f t="shared" ref="L177:S177" si="153">L175+L176</f>
        <v>2200</v>
      </c>
      <c r="M177" s="81">
        <f t="shared" si="153"/>
        <v>4330</v>
      </c>
      <c r="N177" s="81">
        <f t="shared" si="153"/>
        <v>4330</v>
      </c>
      <c r="O177" s="81">
        <f t="shared" si="153"/>
        <v>4330</v>
      </c>
      <c r="P177" s="81">
        <f t="shared" si="153"/>
        <v>4330</v>
      </c>
      <c r="Q177" s="81">
        <f t="shared" si="153"/>
        <v>4330</v>
      </c>
      <c r="R177" s="81">
        <f t="shared" si="153"/>
        <v>4330</v>
      </c>
      <c r="S177" s="81">
        <f t="shared" si="153"/>
        <v>4330</v>
      </c>
      <c r="T177" s="84">
        <f t="shared" si="150"/>
        <v>4063.75</v>
      </c>
      <c r="U177" s="81">
        <f t="shared" ref="U177:AF177" si="154">U175+U176</f>
        <v>1200</v>
      </c>
      <c r="V177" s="81">
        <f t="shared" si="154"/>
        <v>1200</v>
      </c>
      <c r="W177" s="81">
        <f t="shared" si="154"/>
        <v>1200</v>
      </c>
      <c r="X177" s="81">
        <f t="shared" si="154"/>
        <v>1200</v>
      </c>
      <c r="Y177" s="81">
        <f t="shared" si="154"/>
        <v>1200</v>
      </c>
      <c r="Z177" s="81">
        <f t="shared" si="154"/>
        <v>1200</v>
      </c>
      <c r="AA177" s="81">
        <f t="shared" si="154"/>
        <v>1200</v>
      </c>
      <c r="AB177" s="81">
        <f t="shared" si="154"/>
        <v>1200</v>
      </c>
      <c r="AC177" s="81">
        <f t="shared" si="154"/>
        <v>1200</v>
      </c>
      <c r="AD177" s="81">
        <f t="shared" si="154"/>
        <v>1200</v>
      </c>
      <c r="AE177" s="81">
        <f t="shared" si="154"/>
        <v>1200</v>
      </c>
      <c r="AF177" s="81">
        <f t="shared" si="154"/>
        <v>1200</v>
      </c>
      <c r="AG177" s="84">
        <f t="shared" si="151"/>
        <v>1200</v>
      </c>
      <c r="AH177" s="57">
        <f t="shared" si="152"/>
        <v>2345.5</v>
      </c>
      <c r="AI177" s="54"/>
      <c r="AJ177" s="54"/>
    </row>
    <row r="178" spans="1:36" ht="15" customHeight="1">
      <c r="A178" s="43">
        <v>6</v>
      </c>
      <c r="B178" s="73" t="s">
        <v>41</v>
      </c>
      <c r="C178" s="74">
        <f t="shared" si="149"/>
        <v>36212</v>
      </c>
      <c r="D178" s="74">
        <f t="shared" si="149"/>
        <v>36840</v>
      </c>
      <c r="E178" s="74">
        <f t="shared" si="149"/>
        <v>17127</v>
      </c>
      <c r="F178" s="75">
        <f t="shared" si="149"/>
        <v>0.46490228013029317</v>
      </c>
      <c r="G178" s="74">
        <f t="shared" si="149"/>
        <v>19713</v>
      </c>
      <c r="H178" s="74">
        <f t="shared" si="149"/>
        <v>300</v>
      </c>
      <c r="I178" s="74">
        <f t="shared" si="149"/>
        <v>9038</v>
      </c>
      <c r="J178" s="74">
        <f t="shared" si="149"/>
        <v>134</v>
      </c>
      <c r="K178" s="76"/>
      <c r="L178" s="74">
        <f>SUMIFS(J6:J65,F6:F65,$B$178,G6:G65,"&lt;"&amp;DATE(2026,6,1),D6:D65,"Closed Won")+SUMIFS(J6:J65,F6:F65,$B$178,G6:G65,"&lt;"&amp;DATE(2026,6,1),D6:D65,"Contract Negotiation")+SUMIFS(J6:J65,F6:F65,$B$178,G6:G65,"&lt;"&amp;DATE(2026,6,1),D6:D65,"Shortlisted")</f>
        <v>3000</v>
      </c>
      <c r="M178" s="74">
        <f>SUMIFS(J6:J65,F6:F65,$B$178,G6:G65,"&lt;"&amp;DATE(2026,7,1),D6:D65,"Closed Won")+SUMIFS(J6:J65,F6:F65,$B$178,G6:G65,"&lt;"&amp;DATE(2026,7,1),D6:D65,"Contract Negotiation")+SUMIFS(J6:J65,F6:F65,$B$178,G6:G65,"&lt;"&amp;DATE(2026,7,1),D6:D65,"Shortlisted")</f>
        <v>4500</v>
      </c>
      <c r="N178" s="74">
        <f>SUMIFS(J6:J65,F6:F65,$B$178,G6:G65,"&lt;"&amp;DATE(2026,8,1),D6:D65,"Closed Won")+SUMIFS(J6:J65,F6:F65,$B$178,G6:G65,"&lt;"&amp;DATE(2026,8,1),D6:D65,"Contract Negotiation")+SUMIFS(J6:J65,F6:F65,$B$178,G6:G65,"&lt;"&amp;DATE(2026,8,1),D6:D65,"Shortlisted")</f>
        <v>4500</v>
      </c>
      <c r="O178" s="74">
        <f>SUMIFS(J6:J65,F6:F65,$B$178,G6:G65,"&lt;"&amp;DATE(2026,9,1),D6:D65,"Closed Won")+SUMIFS(J6:J65,F6:F65,$B$178,G6:G65,"&lt;"&amp;DATE(2026,9,1),D6:D65,"Contract Negotiation")+SUMIFS(J6:J65,F6:F65,$B$178,G6:G65,"&lt;"&amp;DATE(2026,9,1),D6:D65,"Shortlisted")</f>
        <v>4500</v>
      </c>
      <c r="P178" s="74">
        <f>SUMIFS(J6:J65,F6:F65,$B$178,G6:G65,"&lt;"&amp;DATE(2026,10,1),D6:D65,"Closed Won")+SUMIFS(J6:J65,F6:F65,$B$178,G6:G65,"&lt;"&amp;DATE(2026,10,1),D6:D65,"Contract Negotiation")+SUMIFS(J6:J65,F6:F65,$B$178,G6:G65,"&lt;"&amp;DATE(2026,10,1),D6:D65,"Shortlisted")</f>
        <v>4500</v>
      </c>
      <c r="Q178" s="74">
        <f>SUMIFS(J6:J65,F6:F65,$B$178,G6:G65,"&lt;"&amp;DATE(2026,11,1),D6:D65,"Closed Won")+SUMIFS(J6:J65,F6:F65,$B$178,G6:G65,"&lt;"&amp;DATE(2026,11,1),D6:D65,"Contract Negotiation")+SUMIFS(J6:J65,F6:F65,$B$178,G6:G65,"&lt;"&amp;DATE(2026,11,1),D6:D65,"Shortlisted")</f>
        <v>4500</v>
      </c>
      <c r="R178" s="74">
        <f>SUMIFS(J6:J65,F6:F65,$B$178,G6:G65,"&lt;"&amp;DATE(2026,12,1),D6:D65,"Closed Won")+SUMIFS(J6:J65,F6:F65,$B$178,G6:G65,"&lt;"&amp;DATE(2026,12,1),D6:D65,"Contract Negotiation")+SUMIFS(J6:J65,F6:F65,$B$178,G6:G65,"&lt;"&amp;DATE(2026,12,1),D6:D65,"Shortlisted")</f>
        <v>4500</v>
      </c>
      <c r="S178" s="74">
        <f>SUMIFS(J6:J65,F6:F65,$B$178,G6:G65,"&lt;"&amp;DATE(2027,1,1),D6:D65,"Closed Won")+SUMIFS(J6:J65,F6:F65,$B$178,G6:G65,"&lt;"&amp;DATE(2027,1,1),D6:D65,"Contract Negotiation")+SUMIFS(J6:J65,F6:F65,$B$178,G6:G65,"&lt;"&amp;DATE(2027,1,1),D6:D65,"Shortlisted")</f>
        <v>4500</v>
      </c>
      <c r="T178" s="77">
        <f t="shared" si="150"/>
        <v>4312.5</v>
      </c>
      <c r="U178" s="74">
        <f>SUMIFS(J6:J65,F6:F65,$B$178,G6:G65,"&lt;"&amp;DATE(2027,2,1),D6:D65,"Closed Won")</f>
        <v>0</v>
      </c>
      <c r="V178" s="74">
        <f>SUMIFS(J6:J65,F6:F65,$B$178,G6:G65,"&lt;"&amp;DATE(2027,3,1),D6:D65,"Closed Won")</f>
        <v>0</v>
      </c>
      <c r="W178" s="74">
        <f>SUMIFS(J6:J65,F6:F65,$B$178,G6:G65,"&lt;"&amp;DATE(2027,4,1),D6:D65,"Closed Won")</f>
        <v>0</v>
      </c>
      <c r="X178" s="74">
        <f>SUMIFS(J6:J65,F6:F65,$B$178,G6:G65,"&lt;"&amp;DATE(2027,5,1),D6:D65,"Closed Won")</f>
        <v>0</v>
      </c>
      <c r="Y178" s="74">
        <f>SUMIFS(J6:J65,F6:F65,$B$178,G6:G65,"&lt;"&amp;DATE(2027,6,1),D6:D65,"Closed Won")</f>
        <v>0</v>
      </c>
      <c r="Z178" s="74">
        <f>SUMIFS(J6:J65,F6:F65,$B$178,G6:G65,"&lt;"&amp;DATE(2027,7,1),D6:D65,"Closed Won")</f>
        <v>0</v>
      </c>
      <c r="AA178" s="74">
        <f>SUMIFS(J6:J65,F6:F65,$B$178,G6:G65,"&lt;"&amp;DATE(2027,8,1),D6:D65,"Closed Won")</f>
        <v>0</v>
      </c>
      <c r="AB178" s="74">
        <f>SUMIFS(J6:J65,F6:F65,$B$178,G6:G65,"&lt;"&amp;DATE(2027,9,1),D6:D65,"Closed Won")</f>
        <v>0</v>
      </c>
      <c r="AC178" s="74">
        <f>SUMIFS(J6:J65,F6:F65,$B$178,G6:G65,"&lt;"&amp;DATE(2027,10,1),D6:D65,"Closed Won")</f>
        <v>0</v>
      </c>
      <c r="AD178" s="74">
        <f>SUMIFS(J6:J65,F6:F65,$B$178,G6:G65,"&lt;"&amp;DATE(2027,11,1),D6:D65,"Closed Won")</f>
        <v>0</v>
      </c>
      <c r="AE178" s="74">
        <f>SUMIFS(J6:J65,F6:F65,$B$178,G6:G65,"&lt;"&amp;DATE(2027,12,1),D6:D65,"Closed Won")</f>
        <v>0</v>
      </c>
      <c r="AF178" s="74">
        <f>SUMIFS(J6:J65,F6:F65,$B$178,G6:G65,"&lt;"&amp;DATE(2028,1,1),D6:D65,"Closed Won")</f>
        <v>0</v>
      </c>
      <c r="AG178" s="77">
        <f t="shared" si="151"/>
        <v>0</v>
      </c>
      <c r="AH178" s="78">
        <f t="shared" si="152"/>
        <v>1725</v>
      </c>
      <c r="AI178" s="76"/>
      <c r="AJ178" s="76"/>
    </row>
    <row r="179" spans="1:36" ht="15" customHeight="1">
      <c r="A179" s="43">
        <v>7</v>
      </c>
      <c r="B179" s="73" t="s">
        <v>42</v>
      </c>
      <c r="C179" s="74">
        <f t="shared" si="149"/>
        <v>12177</v>
      </c>
      <c r="D179" s="74">
        <f t="shared" si="149"/>
        <v>14189</v>
      </c>
      <c r="E179" s="74">
        <f t="shared" si="149"/>
        <v>13503</v>
      </c>
      <c r="F179" s="75">
        <f t="shared" si="149"/>
        <v>0.95165268870251607</v>
      </c>
      <c r="G179" s="74">
        <f t="shared" si="149"/>
        <v>686</v>
      </c>
      <c r="H179" s="74">
        <f t="shared" si="149"/>
        <v>2600</v>
      </c>
      <c r="I179" s="74">
        <f t="shared" si="149"/>
        <v>3734</v>
      </c>
      <c r="J179" s="74">
        <f t="shared" si="149"/>
        <v>0</v>
      </c>
      <c r="K179" s="76"/>
      <c r="L179" s="74">
        <f>SUMIFS(J6:J65,F6:F65,$B$179,G6:G65,"&lt;"&amp;DATE(2026,6,1),D6:D65,"Closed Won")+SUMIFS(J6:J65,F6:F65,$B$179,G6:G65,"&lt;"&amp;DATE(2026,6,1),D6:D65,"Contract Negotiation")+SUMIFS(J6:J65,F6:F65,$B$179,G6:G65,"&lt;"&amp;DATE(2026,6,1),D6:D65,"Shortlisted")</f>
        <v>5500</v>
      </c>
      <c r="M179" s="74">
        <f>SUMIFS(J6:J65,F6:F65,$B$179,G6:G65,"&lt;"&amp;DATE(2026,7,1),D6:D65,"Closed Won")+SUMIFS(J6:J65,F6:F65,$B$179,G6:G65,"&lt;"&amp;DATE(2026,7,1),D6:D65,"Contract Negotiation")+SUMIFS(J6:J65,F6:F65,$B$179,G6:G65,"&lt;"&amp;DATE(2026,7,1),D6:D65,"Shortlisted")</f>
        <v>5500</v>
      </c>
      <c r="N179" s="74">
        <f>SUMIFS(J6:J65,F6:F65,$B$179,G6:G65,"&lt;"&amp;DATE(2026,8,1),D6:D65,"Closed Won")+SUMIFS(J6:J65,F6:F65,$B$179,G6:G65,"&lt;"&amp;DATE(2026,8,1),D6:D65,"Contract Negotiation")+SUMIFS(J6:J65,F6:F65,$B$179,G6:G65,"&lt;"&amp;DATE(2026,8,1),D6:D65,"Shortlisted")</f>
        <v>5500</v>
      </c>
      <c r="O179" s="74">
        <f>SUMIFS(J6:J65,F6:F65,$B$179,G6:G65,"&lt;"&amp;DATE(2026,9,1),D6:D65,"Closed Won")+SUMIFS(J6:J65,F6:F65,$B$179,G6:G65,"&lt;"&amp;DATE(2026,9,1),D6:D65,"Contract Negotiation")+SUMIFS(J6:J65,F6:F65,$B$179,G6:G65,"&lt;"&amp;DATE(2026,9,1),D6:D65,"Shortlisted")</f>
        <v>5500</v>
      </c>
      <c r="P179" s="74">
        <f>SUMIFS(J6:J65,F6:F65,$B$179,G6:G65,"&lt;"&amp;DATE(2026,10,1),D6:D65,"Closed Won")+SUMIFS(J6:J65,F6:F65,$B$179,G6:G65,"&lt;"&amp;DATE(2026,10,1),D6:D65,"Contract Negotiation")+SUMIFS(J6:J65,F6:F65,$B$179,G6:G65,"&lt;"&amp;DATE(2026,10,1),D6:D65,"Shortlisted")</f>
        <v>5500</v>
      </c>
      <c r="Q179" s="74">
        <f>SUMIFS(J6:J65,F6:F65,$B$179,G6:G65,"&lt;"&amp;DATE(2026,11,1),D6:D65,"Closed Won")+SUMIFS(J6:J65,F6:F65,$B$179,G6:G65,"&lt;"&amp;DATE(2026,11,1),D6:D65,"Contract Negotiation")+SUMIFS(J6:J65,F6:F65,$B$179,G6:G65,"&lt;"&amp;DATE(2026,11,1),D6:D65,"Shortlisted")</f>
        <v>5500</v>
      </c>
      <c r="R179" s="74">
        <f>SUMIFS(J6:J65,F6:F65,$B$179,G6:G65,"&lt;"&amp;DATE(2026,12,1),D6:D65,"Closed Won")+SUMIFS(J6:J65,F6:F65,$B$179,G6:G65,"&lt;"&amp;DATE(2026,12,1),D6:D65,"Contract Negotiation")+SUMIFS(J6:J65,F6:F65,$B$179,G6:G65,"&lt;"&amp;DATE(2026,12,1),D6:D65,"Shortlisted")</f>
        <v>5500</v>
      </c>
      <c r="S179" s="74">
        <f>SUMIFS(J6:J65,F6:F65,$B$179,G6:G65,"&lt;"&amp;DATE(2027,1,1),D6:D65,"Closed Won")+SUMIFS(J6:J65,F6:F65,$B$179,G6:G65,"&lt;"&amp;DATE(2027,1,1),D6:D65,"Contract Negotiation")+SUMIFS(J6:J65,F6:F65,$B$179,G6:G65,"&lt;"&amp;DATE(2027,1,1),D6:D65,"Shortlisted")</f>
        <v>5500</v>
      </c>
      <c r="T179" s="77">
        <f t="shared" si="150"/>
        <v>5500</v>
      </c>
      <c r="U179" s="74">
        <f>SUMIFS(J6:J65,F6:F65,$B$179,G6:G65,"&lt;"&amp;DATE(2027,2,1),D6:D65,"Closed Won")</f>
        <v>5500</v>
      </c>
      <c r="V179" s="74">
        <f>SUMIFS(J6:J65,F6:F65,$B$179,G6:G65,"&lt;"&amp;DATE(2027,3,1),D6:D65,"Closed Won")</f>
        <v>5500</v>
      </c>
      <c r="W179" s="74">
        <f>SUMIFS(J6:J65,F6:F65,$B$179,G6:G65,"&lt;"&amp;DATE(2027,4,1),D6:D65,"Closed Won")</f>
        <v>5500</v>
      </c>
      <c r="X179" s="74">
        <f>SUMIFS(J6:J65,F6:F65,$B$179,G6:G65,"&lt;"&amp;DATE(2027,5,1),D6:D65,"Closed Won")</f>
        <v>5500</v>
      </c>
      <c r="Y179" s="74">
        <f>SUMIFS(J6:J65,F6:F65,$B$179,G6:G65,"&lt;"&amp;DATE(2027,6,1),D6:D65,"Closed Won")</f>
        <v>5500</v>
      </c>
      <c r="Z179" s="74">
        <f>SUMIFS(J6:J65,F6:F65,$B$179,G6:G65,"&lt;"&amp;DATE(2027,7,1),D6:D65,"Closed Won")</f>
        <v>5500</v>
      </c>
      <c r="AA179" s="74">
        <f>SUMIFS(J6:J65,F6:F65,$B$179,G6:G65,"&lt;"&amp;DATE(2027,8,1),D6:D65,"Closed Won")</f>
        <v>5500</v>
      </c>
      <c r="AB179" s="74">
        <f>SUMIFS(J6:J65,F6:F65,$B$179,G6:G65,"&lt;"&amp;DATE(2027,9,1),D6:D65,"Closed Won")</f>
        <v>5500</v>
      </c>
      <c r="AC179" s="74">
        <f>SUMIFS(J6:J65,F6:F65,$B$179,G6:G65,"&lt;"&amp;DATE(2027,10,1),D6:D65,"Closed Won")</f>
        <v>5500</v>
      </c>
      <c r="AD179" s="74">
        <f>SUMIFS(J6:J65,F6:F65,$B$179,G6:G65,"&lt;"&amp;DATE(2027,11,1),D6:D65,"Closed Won")</f>
        <v>5500</v>
      </c>
      <c r="AE179" s="74">
        <f>SUMIFS(J6:J65,F6:F65,$B$179,G6:G65,"&lt;"&amp;DATE(2027,12,1),D6:D65,"Closed Won")</f>
        <v>5500</v>
      </c>
      <c r="AF179" s="74">
        <f>SUMIFS(J6:J65,F6:F65,$B$179,G6:G65,"&lt;"&amp;DATE(2028,1,1),D6:D65,"Closed Won")</f>
        <v>5500</v>
      </c>
      <c r="AG179" s="77">
        <f t="shared" si="151"/>
        <v>5500</v>
      </c>
      <c r="AH179" s="78">
        <f t="shared" si="152"/>
        <v>5500</v>
      </c>
      <c r="AI179" s="76"/>
      <c r="AJ179" s="76"/>
    </row>
    <row r="180" spans="1:36" ht="15" customHeight="1">
      <c r="A180" s="43">
        <v>8</v>
      </c>
      <c r="B180" s="73" t="s">
        <v>43</v>
      </c>
      <c r="C180" s="74">
        <f t="shared" si="149"/>
        <v>0</v>
      </c>
      <c r="D180" s="74">
        <f t="shared" si="149"/>
        <v>11132</v>
      </c>
      <c r="E180" s="74">
        <f t="shared" si="149"/>
        <v>8134</v>
      </c>
      <c r="F180" s="75">
        <f t="shared" si="149"/>
        <v>0.73068630973769311</v>
      </c>
      <c r="G180" s="74">
        <f t="shared" si="149"/>
        <v>2998</v>
      </c>
      <c r="H180" s="74">
        <f t="shared" si="149"/>
        <v>317</v>
      </c>
      <c r="I180" s="74">
        <f t="shared" si="149"/>
        <v>0</v>
      </c>
      <c r="J180" s="74">
        <f t="shared" si="149"/>
        <v>0</v>
      </c>
      <c r="K180" s="76"/>
      <c r="L180" s="74">
        <f>SUMIFS(J6:J65,F6:F65,$B$180,G6:G65,"&lt;"&amp;DATE(2026,6,1),D6:D65,"Closed Won")+SUMIFS(J6:J65,F6:F65,$B$180,G6:G65,"&lt;"&amp;DATE(2026,6,1),D6:D65,"Contract Negotiation")+SUMIFS(J6:J65,F6:F65,$B$180,G6:G65,"&lt;"&amp;DATE(2026,6,1),D6:D65,"Shortlisted")</f>
        <v>0</v>
      </c>
      <c r="M180" s="74">
        <f>SUMIFS(J6:J65,F6:F65,$B$180,G6:G65,"&lt;"&amp;DATE(2026,7,1),D6:D65,"Closed Won")+SUMIFS(J6:J65,F6:F65,$B$180,G6:G65,"&lt;"&amp;DATE(2026,7,1),D6:D65,"Contract Negotiation")+SUMIFS(J6:J65,F6:F65,$B$180,G6:G65,"&lt;"&amp;DATE(2026,7,1),D6:D65,"Shortlisted")</f>
        <v>0</v>
      </c>
      <c r="N180" s="74">
        <f>SUMIFS(J6:J65,F6:F65,$B$180,G6:G65,"&lt;"&amp;DATE(2026,8,1),D6:D65,"Closed Won")+SUMIFS(J6:J65,F6:F65,$B$180,G6:G65,"&lt;"&amp;DATE(2026,8,1),D6:D65,"Contract Negotiation")+SUMIFS(J6:J65,F6:F65,$B$180,G6:G65,"&lt;"&amp;DATE(2026,8,1),D6:D65,"Shortlisted")</f>
        <v>0</v>
      </c>
      <c r="O180" s="74">
        <f>SUMIFS(J6:J65,F6:F65,$B$180,G6:G65,"&lt;"&amp;DATE(2026,9,1),D6:D65,"Closed Won")+SUMIFS(J6:J65,F6:F65,$B$180,G6:G65,"&lt;"&amp;DATE(2026,9,1),D6:D65,"Contract Negotiation")+SUMIFS(J6:J65,F6:F65,$B$180,G6:G65,"&lt;"&amp;DATE(2026,9,1),D6:D65,"Shortlisted")</f>
        <v>0</v>
      </c>
      <c r="P180" s="74">
        <f>SUMIFS(J6:J65,F6:F65,$B$180,G6:G65,"&lt;"&amp;DATE(2026,10,1),D6:D65,"Closed Won")+SUMIFS(J6:J65,F6:F65,$B$180,G6:G65,"&lt;"&amp;DATE(2026,10,1),D6:D65,"Contract Negotiation")+SUMIFS(J6:J65,F6:F65,$B$180,G6:G65,"&lt;"&amp;DATE(2026,10,1),D6:D65,"Shortlisted")</f>
        <v>0</v>
      </c>
      <c r="Q180" s="74">
        <f>SUMIFS(J6:J65,F6:F65,$B$180,G6:G65,"&lt;"&amp;DATE(2026,11,1),D6:D65,"Closed Won")+SUMIFS(J6:J65,F6:F65,$B$180,G6:G65,"&lt;"&amp;DATE(2026,11,1),D6:D65,"Contract Negotiation")+SUMIFS(J6:J65,F6:F65,$B$180,G6:G65,"&lt;"&amp;DATE(2026,11,1),D6:D65,"Shortlisted")</f>
        <v>0</v>
      </c>
      <c r="R180" s="74">
        <f>SUMIFS(J6:J65,F6:F65,$B$180,G6:G65,"&lt;"&amp;DATE(2026,12,1),D6:D65,"Closed Won")+SUMIFS(J6:J65,F6:F65,$B$180,G6:G65,"&lt;"&amp;DATE(2026,12,1),D6:D65,"Contract Negotiation")+SUMIFS(J6:J65,F6:F65,$B$180,G6:G65,"&lt;"&amp;DATE(2026,12,1),D6:D65,"Shortlisted")</f>
        <v>0</v>
      </c>
      <c r="S180" s="74">
        <f>SUMIFS(J6:J65,F6:F65,$B$180,G6:G65,"&lt;"&amp;DATE(2027,1,1),D6:D65,"Closed Won")+SUMIFS(J6:J65,F6:F65,$B$180,G6:G65,"&lt;"&amp;DATE(2027,1,1),D6:D65,"Contract Negotiation")+SUMIFS(J6:J65,F6:F65,$B$180,G6:G65,"&lt;"&amp;DATE(2027,1,1),D6:D65,"Shortlisted")</f>
        <v>0</v>
      </c>
      <c r="T180" s="77">
        <f t="shared" si="150"/>
        <v>0</v>
      </c>
      <c r="U180" s="74">
        <f>SUMIFS(J6:J65,F6:F65,$B$180,G6:G65,"&lt;"&amp;DATE(2027,2,1),D6:D65,"Closed Won")</f>
        <v>0</v>
      </c>
      <c r="V180" s="74">
        <f>SUMIFS(J6:J65,F6:F65,$B$180,G6:G65,"&lt;"&amp;DATE(2027,3,1),D6:D65,"Closed Won")</f>
        <v>0</v>
      </c>
      <c r="W180" s="74">
        <f>SUMIFS(J6:J65,F6:F65,$B$180,G6:G65,"&lt;"&amp;DATE(2027,4,1),D6:D65,"Closed Won")</f>
        <v>0</v>
      </c>
      <c r="X180" s="74">
        <f>SUMIFS(J6:J65,F6:F65,$B$180,G6:G65,"&lt;"&amp;DATE(2027,5,1),D6:D65,"Closed Won")</f>
        <v>0</v>
      </c>
      <c r="Y180" s="74">
        <f>SUMIFS(J6:J65,F6:F65,$B$180,G6:G65,"&lt;"&amp;DATE(2027,6,1),D6:D65,"Closed Won")</f>
        <v>0</v>
      </c>
      <c r="Z180" s="74">
        <f>SUMIFS(J6:J65,F6:F65,$B$180,G6:G65,"&lt;"&amp;DATE(2027,7,1),D6:D65,"Closed Won")</f>
        <v>0</v>
      </c>
      <c r="AA180" s="74">
        <f>SUMIFS(J6:J65,F6:F65,$B$180,G6:G65,"&lt;"&amp;DATE(2027,8,1),D6:D65,"Closed Won")</f>
        <v>0</v>
      </c>
      <c r="AB180" s="74">
        <f>SUMIFS(J6:J65,F6:F65,$B$180,G6:G65,"&lt;"&amp;DATE(2027,9,1),D6:D65,"Closed Won")</f>
        <v>0</v>
      </c>
      <c r="AC180" s="74">
        <f>SUMIFS(J6:J65,F6:F65,$B$180,G6:G65,"&lt;"&amp;DATE(2027,10,1),D6:D65,"Closed Won")</f>
        <v>0</v>
      </c>
      <c r="AD180" s="74">
        <f>SUMIFS(J6:J65,F6:F65,$B$180,G6:G65,"&lt;"&amp;DATE(2027,11,1),D6:D65,"Closed Won")</f>
        <v>0</v>
      </c>
      <c r="AE180" s="74">
        <f>SUMIFS(J6:J65,F6:F65,$B$180,G6:G65,"&lt;"&amp;DATE(2027,12,1),D6:D65,"Closed Won")</f>
        <v>0</v>
      </c>
      <c r="AF180" s="74">
        <f>SUMIFS(J6:J65,F6:F65,$B$180,G6:G65,"&lt;"&amp;DATE(2028,1,1),D6:D65,"Closed Won")</f>
        <v>0</v>
      </c>
      <c r="AG180" s="77">
        <f t="shared" si="151"/>
        <v>0</v>
      </c>
      <c r="AH180" s="78">
        <f t="shared" si="152"/>
        <v>0</v>
      </c>
      <c r="AI180" s="76"/>
      <c r="AJ180" s="76"/>
    </row>
    <row r="181" spans="1:36" ht="15" customHeight="1">
      <c r="A181" s="43">
        <v>9</v>
      </c>
      <c r="B181" s="73" t="s">
        <v>44</v>
      </c>
      <c r="C181" s="74">
        <f t="shared" si="149"/>
        <v>0</v>
      </c>
      <c r="D181" s="74">
        <f t="shared" si="149"/>
        <v>0</v>
      </c>
      <c r="E181" s="74">
        <f t="shared" si="149"/>
        <v>0</v>
      </c>
      <c r="F181" s="75">
        <f t="shared" si="149"/>
        <v>0</v>
      </c>
      <c r="G181" s="74">
        <f t="shared" si="149"/>
        <v>7500</v>
      </c>
      <c r="H181" s="74">
        <f t="shared" si="149"/>
        <v>0</v>
      </c>
      <c r="I181" s="74">
        <f t="shared" si="149"/>
        <v>0</v>
      </c>
      <c r="J181" s="74">
        <f t="shared" si="149"/>
        <v>0</v>
      </c>
      <c r="K181" s="76"/>
      <c r="L181" s="85">
        <f>SUMIFS(J6:J65,F6:F65,$B$181,G6:G65,"&lt;"&amp;DATE(2026,6,1),D6:D65,"Closed Won")+SUMIFS(J6:J65,F6:F65,$B$181,G6:G65,"&lt;"&amp;DATE(2026,6,1),D6:D65,"Contract Negotiation")+SUMIFS(J6:J65,F6:F65,$B$181,G6:G65,"&lt;"&amp;DATE(2026,6,1),D6:D65,"Shortlisted")</f>
        <v>2500</v>
      </c>
      <c r="M181" s="85">
        <f>SUMIFS(J6:J65,F6:F65,$B$181,G6:G65,"&lt;"&amp;DATE(2026,7,1),D6:D65,"Closed Won")+SUMIFS(J6:J65,F6:F65,$B$181,G6:G65,"&lt;"&amp;DATE(2026,7,1),D6:D65,"Contract Negotiation")+SUMIFS(J6:J65,F6:F65,$B$181,G6:G65,"&lt;"&amp;DATE(2026,7,1),D6:D65,"Shortlisted")</f>
        <v>2500</v>
      </c>
      <c r="N181" s="85">
        <f>SUMIFS(J6:J65,F6:F65,$B$181,G6:G65,"&lt;"&amp;DATE(2026,8,1),D6:D65,"Closed Won")+SUMIFS(J6:J65,F6:F65,$B$181,G6:G65,"&lt;"&amp;DATE(2026,8,1),D6:D65,"Contract Negotiation")+SUMIFS(J6:J65,F6:F65,$B$181,G6:G65,"&lt;"&amp;DATE(2026,8,1),D6:D65,"Shortlisted")</f>
        <v>2500</v>
      </c>
      <c r="O181" s="85">
        <f>SUMIFS(J6:J65,F6:F65,$B$181,G6:G65,"&lt;"&amp;DATE(2026,9,1),D6:D65,"Closed Won")+SUMIFS(J6:J65,F6:F65,$B$181,G6:G65,"&lt;"&amp;DATE(2026,9,1),D6:D65,"Contract Negotiation")+SUMIFS(J6:J65,F6:F65,$B$181,G6:G65,"&lt;"&amp;DATE(2026,9,1),D6:D65,"Shortlisted")</f>
        <v>2500</v>
      </c>
      <c r="P181" s="85">
        <f>SUMIFS(J6:J65,F6:F65,$B$181,G6:G65,"&lt;"&amp;DATE(2026,10,1),D6:D65,"Closed Won")+SUMIFS(J6:J65,F6:F65,$B$181,G6:G65,"&lt;"&amp;DATE(2026,10,1),D6:D65,"Contract Negotiation")+SUMIFS(J6:J65,F6:F65,$B$181,G6:G65,"&lt;"&amp;DATE(2026,10,1),D6:D65,"Shortlisted")</f>
        <v>2500</v>
      </c>
      <c r="Q181" s="85">
        <f>SUMIFS(J6:J65,F6:F65,$B$181,G6:G65,"&lt;"&amp;DATE(2026,11,1),D6:D65,"Closed Won")+SUMIFS(J6:J65,F6:F65,$B$181,G6:G65,"&lt;"&amp;DATE(2026,11,1),D6:D65,"Contract Negotiation")+SUMIFS(J6:J65,F6:F65,$B$181,G6:G65,"&lt;"&amp;DATE(2026,11,1),D6:D65,"Shortlisted")</f>
        <v>2500</v>
      </c>
      <c r="R181" s="85">
        <f>SUMIFS(J6:J65,F6:F65,$B$181,G6:G65,"&lt;"&amp;DATE(2026,12,1),D6:D65,"Closed Won")+SUMIFS(J6:J65,F6:F65,$B$181,G6:G65,"&lt;"&amp;DATE(2026,12,1),D6:D65,"Contract Negotiation")+SUMIFS(J6:J65,F6:F65,$B$181,G6:G65,"&lt;"&amp;DATE(2026,12,1),D6:D65,"Shortlisted")</f>
        <v>2500</v>
      </c>
      <c r="S181" s="85">
        <f>SUMIFS(J6:J65,F6:F65,$B$181,G6:G65,"&lt;"&amp;DATE(2027,1,1),D6:D65,"Closed Won")+SUMIFS(J6:J65,F6:F65,$B$181,G6:G65,"&lt;"&amp;DATE(2027,1,1),D6:D65,"Contract Negotiation")+SUMIFS(J6:J65,F6:F65,$B$181,G6:G65,"&lt;"&amp;DATE(2027,1,1),D6:D65,"Shortlisted")</f>
        <v>2500</v>
      </c>
      <c r="T181" s="77">
        <f t="shared" si="150"/>
        <v>2500</v>
      </c>
      <c r="U181" s="74">
        <f>SUMIFS(J6:J65,F6:F65,$B$181,G6:G65,"&lt;"&amp;DATE(2027,2,1),D6:D65,"Closed Won")</f>
        <v>2500</v>
      </c>
      <c r="V181" s="74">
        <f>SUMIFS(J6:J65,F6:F65,$B$181,G6:G65,"&lt;"&amp;DATE(2027,3,1),D6:D65,"Closed Won")</f>
        <v>2500</v>
      </c>
      <c r="W181" s="74">
        <f>SUMIFS(J6:J65,F6:F65,$B$181,G6:G65,"&lt;"&amp;DATE(2027,4,1),D6:D65,"Closed Won")</f>
        <v>2500</v>
      </c>
      <c r="X181" s="74">
        <f>SUMIFS(J6:J65,F6:F65,$B$181,G6:G65,"&lt;"&amp;DATE(2027,5,1),D6:D65,"Closed Won")</f>
        <v>2500</v>
      </c>
      <c r="Y181" s="74">
        <f>SUMIFS(J6:J65,F6:F65,$B$181,G6:G65,"&lt;"&amp;DATE(2027,6,1),D6:D65,"Closed Won")</f>
        <v>2500</v>
      </c>
      <c r="Z181" s="74">
        <f>SUMIFS(J6:J65,F6:F65,$B$181,G6:G65,"&lt;"&amp;DATE(2027,7,1),D6:D65,"Closed Won")</f>
        <v>2500</v>
      </c>
      <c r="AA181" s="74">
        <f>SUMIFS(J6:J65,F6:F65,$B$181,G6:G65,"&lt;"&amp;DATE(2027,8,1),D6:D65,"Closed Won")</f>
        <v>2500</v>
      </c>
      <c r="AB181" s="74">
        <f>SUMIFS(J6:J65,F6:F65,$B$181,G6:G65,"&lt;"&amp;DATE(2027,9,1),D6:D65,"Closed Won")</f>
        <v>2500</v>
      </c>
      <c r="AC181" s="74">
        <f>SUMIFS(J6:J65,F6:F65,$B$181,G6:G65,"&lt;"&amp;DATE(2027,10,1),D6:D65,"Closed Won")</f>
        <v>2500</v>
      </c>
      <c r="AD181" s="74">
        <f>SUMIFS(J6:J65,F6:F65,$B$181,G6:G65,"&lt;"&amp;DATE(2027,11,1),D6:D65,"Closed Won")</f>
        <v>2500</v>
      </c>
      <c r="AE181" s="74">
        <f>SUMIFS(J6:J65,F6:F65,$B$181,G6:G65,"&lt;"&amp;DATE(2027,12,1),D6:D65,"Closed Won")</f>
        <v>2500</v>
      </c>
      <c r="AF181" s="74">
        <f>SUMIFS(J6:J65,F6:F65,$B$181,G6:G65,"&lt;"&amp;DATE(2028,1,1),D6:D65,"Closed Won")</f>
        <v>2500</v>
      </c>
      <c r="AG181" s="77">
        <f t="shared" si="151"/>
        <v>2500</v>
      </c>
      <c r="AH181" s="78">
        <f t="shared" si="152"/>
        <v>2500</v>
      </c>
      <c r="AI181" s="76"/>
      <c r="AJ181" s="76"/>
    </row>
    <row r="182" spans="1:36" ht="15" customHeight="1">
      <c r="A182" s="43">
        <v>10</v>
      </c>
      <c r="B182" s="73" t="s">
        <v>45</v>
      </c>
      <c r="C182" s="74">
        <f t="shared" si="149"/>
        <v>0</v>
      </c>
      <c r="D182" s="74">
        <f t="shared" si="149"/>
        <v>0</v>
      </c>
      <c r="E182" s="74">
        <f t="shared" si="149"/>
        <v>0</v>
      </c>
      <c r="F182" s="75">
        <f t="shared" si="149"/>
        <v>0</v>
      </c>
      <c r="G182" s="74">
        <f t="shared" si="149"/>
        <v>0</v>
      </c>
      <c r="H182" s="74">
        <f t="shared" si="149"/>
        <v>0</v>
      </c>
      <c r="I182" s="74">
        <f t="shared" si="149"/>
        <v>0</v>
      </c>
      <c r="J182" s="74">
        <f t="shared" si="149"/>
        <v>0</v>
      </c>
      <c r="K182" s="76"/>
      <c r="L182" s="74">
        <f>SUMIFS(J6:J65,F6:F65,$B$182,G6:G65,"&lt;"&amp;DATE(2026,6,1),D6:D65,"Closed Won")+SUMIFS(J6:J65,F6:F65,$B$182,G6:G65,"&lt;"&amp;DATE(2026,6,1),D6:D65,"Contract Negotiation")+SUMIFS(J6:J65,F6:F65,$B$182,G6:G65,"&lt;"&amp;DATE(2026,6,1),D6:D65,"Shortlisted")</f>
        <v>0</v>
      </c>
      <c r="M182" s="74">
        <f>SUMIFS(J6:J65,F6:F65,$B$182,G6:G65,"&lt;"&amp;DATE(2026,7,1),D6:D65,"Closed Won")+SUMIFS(J6:J65,F6:F65,$B$182,G6:G65,"&lt;"&amp;DATE(2026,7,1),D6:D65,"Contract Negotiation")+SUMIFS(J6:J65,F6:F65,$B$182,G6:G65,"&lt;"&amp;DATE(2026,7,1),D6:D65,"Shortlisted")</f>
        <v>0</v>
      </c>
      <c r="N182" s="74">
        <f>SUMIFS(J6:J65,F6:F65,$B$182,G6:G65,"&lt;"&amp;DATE(2026,8,1),D6:D65,"Closed Won")+SUMIFS(J6:J65,F6:F65,$B$182,G6:G65,"&lt;"&amp;DATE(2026,8,1),D6:D65,"Contract Negotiation")+SUMIFS(J6:J65,F6:F65,$B$182,G6:G65,"&lt;"&amp;DATE(2026,8,1),D6:D65,"Shortlisted")</f>
        <v>0</v>
      </c>
      <c r="O182" s="74">
        <f>SUMIFS(J6:J65,F6:F65,$B$182,G6:G65,"&lt;"&amp;DATE(2026,9,1),D6:D65,"Closed Won")+SUMIFS(J6:J65,F6:F65,$B$182,G6:G65,"&lt;"&amp;DATE(2026,9,1),D6:D65,"Contract Negotiation")+SUMIFS(J6:J65,F6:F65,$B$182,G6:G65,"&lt;"&amp;DATE(2026,9,1),D6:D65,"Shortlisted")</f>
        <v>0</v>
      </c>
      <c r="P182" s="74">
        <f>SUMIFS(J6:J65,F6:F65,$B$182,G6:G65,"&lt;"&amp;DATE(2026,10,1),D6:D65,"Closed Won")+SUMIFS(J6:J65,F6:F65,$B$182,G6:G65,"&lt;"&amp;DATE(2026,10,1),D6:D65,"Contract Negotiation")+SUMIFS(J6:J65,F6:F65,$B$182,G6:G65,"&lt;"&amp;DATE(2026,10,1),D6:D65,"Shortlisted")</f>
        <v>0</v>
      </c>
      <c r="Q182" s="74">
        <f>SUMIFS(J6:J65,F6:F65,$B$182,G6:G65,"&lt;"&amp;DATE(2026,11,1),D6:D65,"Closed Won")+SUMIFS(J6:J65,F6:F65,$B$182,G6:G65,"&lt;"&amp;DATE(2026,11,1),D6:D65,"Contract Negotiation")+SUMIFS(J6:J65,F6:F65,$B$182,G6:G65,"&lt;"&amp;DATE(2026,11,1),D6:D65,"Shortlisted")</f>
        <v>0</v>
      </c>
      <c r="R182" s="74">
        <f>SUMIFS(J6:J65,F6:F65,$B$182,G6:G65,"&lt;"&amp;DATE(2026,12,1),D6:D65,"Closed Won")+SUMIFS(J6:J65,F6:F65,$B$182,G6:G65,"&lt;"&amp;DATE(2026,12,1),D6:D65,"Contract Negotiation")+SUMIFS(J6:J65,F6:F65,$B$182,G6:G65,"&lt;"&amp;DATE(2026,12,1),D6:D65,"Shortlisted")</f>
        <v>0</v>
      </c>
      <c r="S182" s="74">
        <f>SUMIFS(J6:J65,F6:F65,$B$182,G6:G65,"&lt;"&amp;DATE(2027,1,1),D6:D65,"Closed Won")+SUMIFS(J6:J65,F6:F65,$B$182,G6:G65,"&lt;"&amp;DATE(2027,1,1),D6:D65,"Contract Negotiation")+SUMIFS(J6:J65,F6:F65,$B$182,G6:G65,"&lt;"&amp;DATE(2027,1,1),D6:D65,"Shortlisted")</f>
        <v>0</v>
      </c>
      <c r="T182" s="77">
        <f t="shared" si="150"/>
        <v>0</v>
      </c>
      <c r="U182" s="74">
        <f>SUMIFS(J6:J65,F6:F65,$B$182,G6:G65,"&lt;"&amp;DATE(2027,2,1),D6:D65,"Closed Won")</f>
        <v>0</v>
      </c>
      <c r="V182" s="74">
        <f>SUMIFS(J6:J65,F6:F65,$B$182,G6:G65,"&lt;"&amp;DATE(2027,3,1),D6:D65,"Closed Won")</f>
        <v>0</v>
      </c>
      <c r="W182" s="74">
        <f>SUMIFS(J6:J65,F6:F65,$B$182,G6:G65,"&lt;"&amp;DATE(2027,4,1),D6:D65,"Closed Won")</f>
        <v>0</v>
      </c>
      <c r="X182" s="74">
        <f>SUMIFS(J6:J65,F6:F65,$B$182,G6:G65,"&lt;"&amp;DATE(2027,5,1),D6:D65,"Closed Won")</f>
        <v>0</v>
      </c>
      <c r="Y182" s="74">
        <f>SUMIFS(J6:J65,F6:F65,$B$182,G6:G65,"&lt;"&amp;DATE(2027,6,1),D6:D65,"Closed Won")</f>
        <v>0</v>
      </c>
      <c r="Z182" s="74">
        <f>SUMIFS(J6:J65,F6:F65,$B$182,G6:G65,"&lt;"&amp;DATE(2027,7,1),D6:D65,"Closed Won")</f>
        <v>0</v>
      </c>
      <c r="AA182" s="74">
        <f>SUMIFS(J6:J65,F6:F65,$B$182,G6:G65,"&lt;"&amp;DATE(2027,8,1),D6:D65,"Closed Won")</f>
        <v>0</v>
      </c>
      <c r="AB182" s="74">
        <f>SUMIFS(J6:J65,F6:F65,$B$182,G6:G65,"&lt;"&amp;DATE(2027,9,1),D6:D65,"Closed Won")</f>
        <v>0</v>
      </c>
      <c r="AC182" s="74">
        <f>SUMIFS(J6:J65,F6:F65,$B$182,G6:G65,"&lt;"&amp;DATE(2027,10,1),D6:D65,"Closed Won")</f>
        <v>0</v>
      </c>
      <c r="AD182" s="74">
        <f>SUMIFS(J6:J65,F6:F65,$B$182,G6:G65,"&lt;"&amp;DATE(2027,11,1),D6:D65,"Closed Won")</f>
        <v>0</v>
      </c>
      <c r="AE182" s="74">
        <f>SUMIFS(J6:J65,F6:F65,$B$182,G6:G65,"&lt;"&amp;DATE(2027,12,1),D6:D65,"Closed Won")</f>
        <v>0</v>
      </c>
      <c r="AF182" s="74">
        <f>SUMIFS(J6:J65,F6:F65,$B$182,G6:G65,"&lt;"&amp;DATE(2028,1,1),D6:D65,"Closed Won")</f>
        <v>0</v>
      </c>
      <c r="AG182" s="77">
        <f t="shared" si="151"/>
        <v>0</v>
      </c>
      <c r="AH182" s="78">
        <f t="shared" si="152"/>
        <v>0</v>
      </c>
      <c r="AI182" s="76"/>
      <c r="AJ182" s="76"/>
    </row>
    <row r="183" spans="1:36" ht="23.25" customHeight="1">
      <c r="A183" s="54"/>
      <c r="B183" s="55" t="s">
        <v>168</v>
      </c>
      <c r="C183" s="86">
        <f>SUM(C173:C182)-IF((C175+C176)&lt;&gt;0,C177,0)</f>
        <v>132560</v>
      </c>
      <c r="D183" s="86">
        <f>SUM(D173:D182)-IF((D175+D176)&lt;&gt;0,D177,0)</f>
        <v>180370</v>
      </c>
      <c r="E183" s="86">
        <f>SUM(E173:E182)-IF((E175+E176)&lt;&gt;0,E177,0)</f>
        <v>99000</v>
      </c>
      <c r="F183" s="87">
        <f>IFERROR(E183/D183,0)</f>
        <v>0.54887176359705048</v>
      </c>
      <c r="G183" s="86">
        <f>SUM(G173:G182)-IF((G175+G176)&lt;&gt;0,G177,0)</f>
        <v>88870</v>
      </c>
      <c r="H183" s="86">
        <f>SUM(H173:H182)-IF((H175+H176)&lt;&gt;0,H177,0)</f>
        <v>39774</v>
      </c>
      <c r="I183" s="86">
        <f>SUM(I173:I182)-IF((I175+I176)&lt;&gt;0,I177,0)</f>
        <v>16537</v>
      </c>
      <c r="J183" s="86">
        <f>SUM(J173:J182)-IF((J175+J176)&lt;&gt;0,J177,0)</f>
        <v>278</v>
      </c>
      <c r="K183" s="54"/>
      <c r="L183" s="88">
        <f t="shared" ref="L183:S183" si="155">SUM(L173,L174,L175,L176,L178,L179,L180,L181,L182)</f>
        <v>16590</v>
      </c>
      <c r="M183" s="88">
        <f t="shared" si="155"/>
        <v>24220</v>
      </c>
      <c r="N183" s="88">
        <f t="shared" si="155"/>
        <v>24220</v>
      </c>
      <c r="O183" s="88">
        <f t="shared" si="155"/>
        <v>24220</v>
      </c>
      <c r="P183" s="88">
        <f t="shared" si="155"/>
        <v>24220</v>
      </c>
      <c r="Q183" s="88">
        <f t="shared" si="155"/>
        <v>24220</v>
      </c>
      <c r="R183" s="88">
        <f t="shared" si="155"/>
        <v>24220</v>
      </c>
      <c r="S183" s="88">
        <f t="shared" si="155"/>
        <v>24220</v>
      </c>
      <c r="T183" s="84">
        <f t="shared" si="150"/>
        <v>23266.25</v>
      </c>
      <c r="U183" s="57">
        <f t="shared" ref="U183:AF183" si="156">SUM(U173,U174,U175,U176,U178,U179,U180,U181,U182)</f>
        <v>11090</v>
      </c>
      <c r="V183" s="57">
        <f t="shared" si="156"/>
        <v>11090</v>
      </c>
      <c r="W183" s="57">
        <f t="shared" si="156"/>
        <v>11090</v>
      </c>
      <c r="X183" s="57">
        <f t="shared" si="156"/>
        <v>11090</v>
      </c>
      <c r="Y183" s="57">
        <f t="shared" si="156"/>
        <v>11090</v>
      </c>
      <c r="Z183" s="57">
        <f t="shared" si="156"/>
        <v>11090</v>
      </c>
      <c r="AA183" s="57">
        <f t="shared" si="156"/>
        <v>11090</v>
      </c>
      <c r="AB183" s="57">
        <f t="shared" si="156"/>
        <v>11090</v>
      </c>
      <c r="AC183" s="57">
        <f t="shared" si="156"/>
        <v>11090</v>
      </c>
      <c r="AD183" s="57">
        <f t="shared" si="156"/>
        <v>11090</v>
      </c>
      <c r="AE183" s="57">
        <f t="shared" si="156"/>
        <v>11090</v>
      </c>
      <c r="AF183" s="57">
        <f t="shared" si="156"/>
        <v>11090</v>
      </c>
      <c r="AG183" s="84">
        <f t="shared" si="151"/>
        <v>11090</v>
      </c>
      <c r="AH183" s="57">
        <f t="shared" si="152"/>
        <v>15960.5</v>
      </c>
      <c r="AI183" s="54"/>
      <c r="AJ183" s="54"/>
    </row>
    <row r="184" spans="1:36" ht="15" customHeight="1">
      <c r="A184" s="54"/>
      <c r="B184" s="55" t="s">
        <v>169</v>
      </c>
      <c r="C184" s="54"/>
      <c r="D184" s="54"/>
      <c r="E184" s="54"/>
      <c r="F184" s="54"/>
      <c r="G184" s="54"/>
      <c r="H184" s="54"/>
      <c r="I184" s="54"/>
      <c r="J184" s="54"/>
      <c r="K184" s="54"/>
      <c r="L184" s="57">
        <f t="shared" ref="L184:S184" si="157">$G$171</f>
        <v>88870</v>
      </c>
      <c r="M184" s="57">
        <f t="shared" si="157"/>
        <v>88870</v>
      </c>
      <c r="N184" s="57">
        <f t="shared" si="157"/>
        <v>88870</v>
      </c>
      <c r="O184" s="57">
        <f t="shared" si="157"/>
        <v>88870</v>
      </c>
      <c r="P184" s="57">
        <f t="shared" si="157"/>
        <v>88870</v>
      </c>
      <c r="Q184" s="57">
        <f t="shared" si="157"/>
        <v>88870</v>
      </c>
      <c r="R184" s="57">
        <f t="shared" si="157"/>
        <v>88870</v>
      </c>
      <c r="S184" s="57">
        <f t="shared" si="157"/>
        <v>88870</v>
      </c>
      <c r="T184" s="84">
        <f t="shared" si="150"/>
        <v>88870</v>
      </c>
      <c r="U184" s="57">
        <f t="shared" ref="U184:AF184" si="158">-$H$171+$J$171</f>
        <v>-39496</v>
      </c>
      <c r="V184" s="57">
        <f t="shared" si="158"/>
        <v>-39496</v>
      </c>
      <c r="W184" s="57">
        <f t="shared" si="158"/>
        <v>-39496</v>
      </c>
      <c r="X184" s="57">
        <f t="shared" si="158"/>
        <v>-39496</v>
      </c>
      <c r="Y184" s="57">
        <f t="shared" si="158"/>
        <v>-39496</v>
      </c>
      <c r="Z184" s="57">
        <f t="shared" si="158"/>
        <v>-39496</v>
      </c>
      <c r="AA184" s="57">
        <f t="shared" si="158"/>
        <v>-39496</v>
      </c>
      <c r="AB184" s="57">
        <f t="shared" si="158"/>
        <v>-39496</v>
      </c>
      <c r="AC184" s="57">
        <f t="shared" si="158"/>
        <v>-39496</v>
      </c>
      <c r="AD184" s="57">
        <f t="shared" si="158"/>
        <v>-39496</v>
      </c>
      <c r="AE184" s="57">
        <f t="shared" si="158"/>
        <v>-39496</v>
      </c>
      <c r="AF184" s="57">
        <f t="shared" si="158"/>
        <v>-39496</v>
      </c>
      <c r="AG184" s="84">
        <f t="shared" si="151"/>
        <v>-39496</v>
      </c>
      <c r="AH184" s="57">
        <f t="shared" si="152"/>
        <v>11850.4</v>
      </c>
      <c r="AI184" s="54"/>
      <c r="AJ184" s="54"/>
    </row>
    <row r="185" spans="1:36" ht="15" customHeight="1">
      <c r="A185" s="54"/>
      <c r="B185" s="55" t="s">
        <v>170</v>
      </c>
      <c r="C185" s="54"/>
      <c r="D185" s="54"/>
      <c r="E185" s="54"/>
      <c r="F185" s="54"/>
      <c r="G185" s="54"/>
      <c r="H185" s="54"/>
      <c r="I185" s="54"/>
      <c r="J185" s="54"/>
      <c r="K185" s="54"/>
      <c r="L185" s="65">
        <f t="shared" ref="L185:AH185" si="159">IFERROR(L183/L184,0)</f>
        <v>0.18667716889839092</v>
      </c>
      <c r="M185" s="65">
        <f t="shared" si="159"/>
        <v>0.27253291324406437</v>
      </c>
      <c r="N185" s="65">
        <f t="shared" si="159"/>
        <v>0.27253291324406437</v>
      </c>
      <c r="O185" s="65">
        <f t="shared" si="159"/>
        <v>0.27253291324406437</v>
      </c>
      <c r="P185" s="65">
        <f t="shared" si="159"/>
        <v>0.27253291324406437</v>
      </c>
      <c r="Q185" s="65">
        <f t="shared" si="159"/>
        <v>0.27253291324406437</v>
      </c>
      <c r="R185" s="65">
        <f t="shared" si="159"/>
        <v>0.27253291324406437</v>
      </c>
      <c r="S185" s="65">
        <f t="shared" si="159"/>
        <v>0.27253291324406437</v>
      </c>
      <c r="T185" s="66">
        <f t="shared" si="159"/>
        <v>0.26180094520085517</v>
      </c>
      <c r="U185" s="65">
        <f t="shared" si="159"/>
        <v>-0.28078792789143203</v>
      </c>
      <c r="V185" s="65">
        <f t="shared" si="159"/>
        <v>-0.28078792789143203</v>
      </c>
      <c r="W185" s="65">
        <f t="shared" si="159"/>
        <v>-0.28078792789143203</v>
      </c>
      <c r="X185" s="65">
        <f t="shared" si="159"/>
        <v>-0.28078792789143203</v>
      </c>
      <c r="Y185" s="65">
        <f t="shared" si="159"/>
        <v>-0.28078792789143203</v>
      </c>
      <c r="Z185" s="65">
        <f t="shared" si="159"/>
        <v>-0.28078792789143203</v>
      </c>
      <c r="AA185" s="65">
        <f t="shared" si="159"/>
        <v>-0.28078792789143203</v>
      </c>
      <c r="AB185" s="65">
        <f t="shared" si="159"/>
        <v>-0.28078792789143203</v>
      </c>
      <c r="AC185" s="65">
        <f t="shared" si="159"/>
        <v>-0.28078792789143203</v>
      </c>
      <c r="AD185" s="65">
        <f t="shared" si="159"/>
        <v>-0.28078792789143203</v>
      </c>
      <c r="AE185" s="65">
        <f t="shared" si="159"/>
        <v>-0.28078792789143203</v>
      </c>
      <c r="AF185" s="65">
        <f t="shared" si="159"/>
        <v>-0.28078792789143203</v>
      </c>
      <c r="AG185" s="66">
        <f t="shared" si="159"/>
        <v>-0.28078792789143203</v>
      </c>
      <c r="AH185" s="65">
        <f t="shared" si="159"/>
        <v>1.3468321744413692</v>
      </c>
      <c r="AI185" s="54"/>
      <c r="AJ185" s="54"/>
    </row>
    <row r="186" spans="1:36" ht="15" customHeight="1">
      <c r="A186" s="89"/>
    </row>
    <row r="187" spans="1:36" ht="40.5" customHeight="1">
      <c r="A187" s="478" t="s">
        <v>171</v>
      </c>
      <c r="B187" s="478"/>
      <c r="C187" s="478"/>
      <c r="D187" s="478"/>
      <c r="E187" s="478"/>
      <c r="F187" s="478"/>
      <c r="G187" s="478"/>
      <c r="H187" s="478"/>
      <c r="I187" s="478"/>
      <c r="J187" s="478"/>
      <c r="K187" s="478"/>
      <c r="L187" s="478"/>
      <c r="M187" s="478"/>
      <c r="N187" s="478"/>
      <c r="O187" s="478"/>
      <c r="P187" s="478"/>
      <c r="Q187" s="478"/>
      <c r="R187" s="478"/>
      <c r="S187" s="478"/>
      <c r="T187" s="478"/>
      <c r="U187" s="478"/>
      <c r="V187" s="478"/>
      <c r="W187" s="478"/>
      <c r="X187" s="478"/>
      <c r="Y187" s="478"/>
      <c r="Z187" s="478"/>
      <c r="AA187" s="478"/>
      <c r="AB187" s="478"/>
      <c r="AC187" s="478"/>
      <c r="AD187" s="478"/>
      <c r="AE187" s="478"/>
      <c r="AF187" s="478"/>
      <c r="AG187" s="478"/>
      <c r="AH187" s="478"/>
      <c r="AI187" s="478"/>
      <c r="AJ187" s="478"/>
    </row>
    <row r="188" spans="1:36" ht="15" customHeight="1">
      <c r="A188" s="40" t="s">
        <v>25</v>
      </c>
      <c r="B188" s="40" t="s">
        <v>10</v>
      </c>
      <c r="C188" s="40"/>
      <c r="D188" s="40"/>
      <c r="E188" s="40"/>
      <c r="F188" s="40"/>
      <c r="G188" s="40"/>
      <c r="H188" s="40"/>
      <c r="I188" s="40"/>
      <c r="J188" s="40"/>
      <c r="K188" s="40"/>
      <c r="L188" s="40" t="s">
        <v>99</v>
      </c>
      <c r="M188" s="40" t="s">
        <v>100</v>
      </c>
      <c r="N188" s="40" t="s">
        <v>101</v>
      </c>
      <c r="O188" s="40" t="s">
        <v>102</v>
      </c>
      <c r="P188" s="40" t="s">
        <v>103</v>
      </c>
      <c r="Q188" s="40" t="s">
        <v>104</v>
      </c>
      <c r="R188" s="40" t="s">
        <v>105</v>
      </c>
      <c r="S188" s="40" t="s">
        <v>106</v>
      </c>
      <c r="T188" s="40" t="s">
        <v>107</v>
      </c>
      <c r="U188" s="40" t="s">
        <v>108</v>
      </c>
      <c r="V188" s="40" t="s">
        <v>109</v>
      </c>
      <c r="W188" s="40" t="s">
        <v>110</v>
      </c>
      <c r="X188" s="40" t="s">
        <v>111</v>
      </c>
      <c r="Y188" s="40" t="s">
        <v>112</v>
      </c>
      <c r="Z188" s="40" t="s">
        <v>113</v>
      </c>
      <c r="AA188" s="40" t="s">
        <v>114</v>
      </c>
      <c r="AB188" s="40" t="s">
        <v>115</v>
      </c>
      <c r="AC188" s="40" t="s">
        <v>116</v>
      </c>
      <c r="AD188" s="40" t="s">
        <v>117</v>
      </c>
      <c r="AE188" s="40" t="s">
        <v>118</v>
      </c>
      <c r="AF188" s="40" t="s">
        <v>119</v>
      </c>
      <c r="AG188" s="40" t="s">
        <v>120</v>
      </c>
      <c r="AH188" s="40" t="s">
        <v>121</v>
      </c>
      <c r="AI188" s="40"/>
      <c r="AJ188" s="41" t="s">
        <v>123</v>
      </c>
    </row>
    <row r="189" spans="1:36" ht="15" customHeight="1">
      <c r="A189" s="79">
        <v>1</v>
      </c>
      <c r="B189" s="55" t="s">
        <v>172</v>
      </c>
      <c r="C189" s="54"/>
      <c r="D189" s="54"/>
      <c r="E189" s="54"/>
      <c r="F189" s="54"/>
      <c r="G189" s="54"/>
      <c r="H189" s="54"/>
      <c r="I189" s="54"/>
      <c r="J189" s="54"/>
      <c r="K189" s="54"/>
      <c r="L189" s="56">
        <f>0</f>
        <v>0</v>
      </c>
      <c r="M189" s="56">
        <f t="shared" ref="M189:S189" si="160">SUMIFS(L$6:L$65,$D$6:$D$65,"Shortlisted")*VLOOKUP("Shortlisted",$B$211:$C$217,2,FALSE())</f>
        <v>45375</v>
      </c>
      <c r="N189" s="56">
        <f t="shared" si="160"/>
        <v>167475</v>
      </c>
      <c r="O189" s="56">
        <f t="shared" si="160"/>
        <v>220600</v>
      </c>
      <c r="P189" s="56">
        <f t="shared" si="160"/>
        <v>220600</v>
      </c>
      <c r="Q189" s="56">
        <f t="shared" si="160"/>
        <v>220600</v>
      </c>
      <c r="R189" s="56">
        <f t="shared" si="160"/>
        <v>220600</v>
      </c>
      <c r="S189" s="56">
        <f t="shared" si="160"/>
        <v>220600</v>
      </c>
      <c r="T189" s="58">
        <f>SUM(L189:S189)</f>
        <v>1315850</v>
      </c>
      <c r="U189" s="56">
        <f>SUMIFS(S$6:S$65,$D$6:$D$65,"Shortlisted")*VLOOKUP("Shortlisted",$B$211:$C$217,2,FALSE())</f>
        <v>220600</v>
      </c>
      <c r="V189" s="56">
        <f t="shared" ref="V189:AF189" si="161">SUMIFS(U$6:U$65,$D$6:$D$65,"Shortlisted")*VLOOKUP("Shortlisted",$B$211:$C$217,2,FALSE())</f>
        <v>220600</v>
      </c>
      <c r="W189" s="56">
        <f t="shared" si="161"/>
        <v>220600</v>
      </c>
      <c r="X189" s="56">
        <f t="shared" si="161"/>
        <v>220600</v>
      </c>
      <c r="Y189" s="56">
        <f t="shared" si="161"/>
        <v>220600</v>
      </c>
      <c r="Z189" s="56">
        <f t="shared" si="161"/>
        <v>220600</v>
      </c>
      <c r="AA189" s="56">
        <f t="shared" si="161"/>
        <v>220600</v>
      </c>
      <c r="AB189" s="56">
        <f t="shared" si="161"/>
        <v>220600</v>
      </c>
      <c r="AC189" s="56">
        <f t="shared" si="161"/>
        <v>220600</v>
      </c>
      <c r="AD189" s="56">
        <f t="shared" si="161"/>
        <v>220600</v>
      </c>
      <c r="AE189" s="56">
        <f t="shared" si="161"/>
        <v>220600</v>
      </c>
      <c r="AF189" s="56">
        <f t="shared" si="161"/>
        <v>220600</v>
      </c>
      <c r="AG189" s="58">
        <f>SUM(U189:AF189)</f>
        <v>2647200</v>
      </c>
      <c r="AH189" s="56">
        <f>T189+AG189</f>
        <v>3963050</v>
      </c>
      <c r="AI189" s="54"/>
      <c r="AJ189" s="54"/>
    </row>
    <row r="190" spans="1:36" ht="15" customHeight="1">
      <c r="A190" s="79">
        <v>2</v>
      </c>
      <c r="B190" s="55" t="s">
        <v>173</v>
      </c>
      <c r="C190" s="54"/>
      <c r="D190" s="54"/>
      <c r="E190" s="54"/>
      <c r="F190" s="54"/>
      <c r="G190" s="54"/>
      <c r="H190" s="54"/>
      <c r="I190" s="54"/>
      <c r="J190" s="54"/>
      <c r="K190" s="54"/>
      <c r="L190" s="56">
        <f>0</f>
        <v>0</v>
      </c>
      <c r="M190" s="56">
        <f t="shared" ref="M190:S190" si="162">SUMIFS(L$6:L$65,$D$6:$D$65,"Contract Negotiation")*VLOOKUP("Contract Negotiation",$B$211:$C$217,2,FALSE())</f>
        <v>148500</v>
      </c>
      <c r="N190" s="56">
        <f t="shared" si="162"/>
        <v>328500</v>
      </c>
      <c r="O190" s="56">
        <f t="shared" si="162"/>
        <v>328500</v>
      </c>
      <c r="P190" s="56">
        <f t="shared" si="162"/>
        <v>328500</v>
      </c>
      <c r="Q190" s="56">
        <f t="shared" si="162"/>
        <v>328500</v>
      </c>
      <c r="R190" s="56">
        <f t="shared" si="162"/>
        <v>328500</v>
      </c>
      <c r="S190" s="56">
        <f t="shared" si="162"/>
        <v>328500</v>
      </c>
      <c r="T190" s="58">
        <f>SUM(L190:S190)</f>
        <v>2119500</v>
      </c>
      <c r="U190" s="56">
        <f>SUMIFS(S$6:S$65,$D$6:$D$65,"Contract Negotiation")*VLOOKUP("Contract Negotiation",$B$211:$C$217,2,FALSE())</f>
        <v>328500</v>
      </c>
      <c r="V190" s="56">
        <f t="shared" ref="V190:AF190" si="163">SUMIFS(U$6:U$65,$D$6:$D$65,"Contract Negotiation")*VLOOKUP("Contract Negotiation",$B$211:$C$217,2,FALSE())</f>
        <v>328500</v>
      </c>
      <c r="W190" s="56">
        <f t="shared" si="163"/>
        <v>328500</v>
      </c>
      <c r="X190" s="56">
        <f t="shared" si="163"/>
        <v>328500</v>
      </c>
      <c r="Y190" s="56">
        <f t="shared" si="163"/>
        <v>328500</v>
      </c>
      <c r="Z190" s="56">
        <f t="shared" si="163"/>
        <v>328500</v>
      </c>
      <c r="AA190" s="56">
        <f t="shared" si="163"/>
        <v>328500</v>
      </c>
      <c r="AB190" s="56">
        <f t="shared" si="163"/>
        <v>328500</v>
      </c>
      <c r="AC190" s="56">
        <f t="shared" si="163"/>
        <v>328500</v>
      </c>
      <c r="AD190" s="56">
        <f t="shared" si="163"/>
        <v>328500</v>
      </c>
      <c r="AE190" s="56">
        <f t="shared" si="163"/>
        <v>328500</v>
      </c>
      <c r="AF190" s="56">
        <f t="shared" si="163"/>
        <v>328500</v>
      </c>
      <c r="AG190" s="58">
        <f>SUM(U190:AF190)</f>
        <v>3942000</v>
      </c>
      <c r="AH190" s="56">
        <f>T190+AG190</f>
        <v>6061500</v>
      </c>
      <c r="AI190" s="54"/>
      <c r="AJ190" s="54"/>
    </row>
    <row r="191" spans="1:36" ht="15" customHeight="1">
      <c r="A191" s="79">
        <v>3</v>
      </c>
      <c r="B191" s="55" t="s">
        <v>174</v>
      </c>
      <c r="C191" s="54"/>
      <c r="D191" s="54"/>
      <c r="E191" s="54"/>
      <c r="F191" s="54"/>
      <c r="G191" s="54"/>
      <c r="H191" s="54"/>
      <c r="I191" s="54"/>
      <c r="J191" s="54"/>
      <c r="K191" s="54"/>
      <c r="L191" s="56">
        <f>0</f>
        <v>0</v>
      </c>
      <c r="M191" s="56">
        <f t="shared" ref="M191:S191" si="164">SUMIFS(L$6:L$65,$D$6:$D$65,"Closed Won")*VLOOKUP("Closed Won",$B$211:$C$217,2,FALSE())</f>
        <v>482216.66666666669</v>
      </c>
      <c r="N191" s="56">
        <f t="shared" si="164"/>
        <v>482216.66666666669</v>
      </c>
      <c r="O191" s="56">
        <f t="shared" si="164"/>
        <v>482216.66666666669</v>
      </c>
      <c r="P191" s="56">
        <f t="shared" si="164"/>
        <v>482216.66666666669</v>
      </c>
      <c r="Q191" s="56">
        <f t="shared" si="164"/>
        <v>482216.66666666669</v>
      </c>
      <c r="R191" s="56">
        <f t="shared" si="164"/>
        <v>482216.66666666669</v>
      </c>
      <c r="S191" s="56">
        <f t="shared" si="164"/>
        <v>482216.66666666669</v>
      </c>
      <c r="T191" s="58">
        <f>SUM(L191:S191)</f>
        <v>3375516.6666666665</v>
      </c>
      <c r="U191" s="56">
        <f>SUMIFS(S$6:S$65,$D$6:$D$65,"Closed Won")*VLOOKUP("Closed Won",$B$211:$C$217,2,FALSE())</f>
        <v>482216.66666666669</v>
      </c>
      <c r="V191" s="56">
        <f t="shared" ref="V191:AF191" si="165">SUMIFS(U$6:U$65,$D$6:$D$65,"Closed Won")*VLOOKUP("Closed Won",$B$211:$C$217,2,FALSE())</f>
        <v>482216.66666666669</v>
      </c>
      <c r="W191" s="56">
        <f t="shared" si="165"/>
        <v>482216.66666666669</v>
      </c>
      <c r="X191" s="56">
        <f t="shared" si="165"/>
        <v>482216.66666666669</v>
      </c>
      <c r="Y191" s="56">
        <f t="shared" si="165"/>
        <v>482216.66666666669</v>
      </c>
      <c r="Z191" s="56">
        <f t="shared" si="165"/>
        <v>482216.66666666669</v>
      </c>
      <c r="AA191" s="56">
        <f t="shared" si="165"/>
        <v>482216.66666666669</v>
      </c>
      <c r="AB191" s="56">
        <f t="shared" si="165"/>
        <v>482216.66666666669</v>
      </c>
      <c r="AC191" s="56">
        <f t="shared" si="165"/>
        <v>482216.66666666669</v>
      </c>
      <c r="AD191" s="56">
        <f t="shared" si="165"/>
        <v>482216.66666666669</v>
      </c>
      <c r="AE191" s="56">
        <f t="shared" si="165"/>
        <v>482216.66666666669</v>
      </c>
      <c r="AF191" s="56">
        <f t="shared" si="165"/>
        <v>482216.66666666669</v>
      </c>
      <c r="AG191" s="58">
        <f>SUM(U191:AF191)</f>
        <v>5786600.0000000009</v>
      </c>
      <c r="AH191" s="56">
        <f>T191+AG191</f>
        <v>9162116.6666666679</v>
      </c>
      <c r="AI191" s="54"/>
      <c r="AJ191" s="54"/>
    </row>
    <row r="192" spans="1:36" ht="15" customHeight="1">
      <c r="A192" s="54"/>
      <c r="B192" s="55" t="s">
        <v>175</v>
      </c>
      <c r="C192" s="54"/>
      <c r="D192" s="54"/>
      <c r="E192" s="54"/>
      <c r="F192" s="54"/>
      <c r="G192" s="54"/>
      <c r="H192" s="54"/>
      <c r="I192" s="54"/>
      <c r="J192" s="54"/>
      <c r="K192" s="54"/>
      <c r="L192" s="56">
        <f t="shared" ref="L192:S192" si="166">SUM(L189:L191)</f>
        <v>0</v>
      </c>
      <c r="M192" s="56">
        <f t="shared" si="166"/>
        <v>676091.66666666674</v>
      </c>
      <c r="N192" s="56">
        <f t="shared" si="166"/>
        <v>978191.66666666674</v>
      </c>
      <c r="O192" s="56">
        <f t="shared" si="166"/>
        <v>1031316.6666666667</v>
      </c>
      <c r="P192" s="56">
        <f t="shared" si="166"/>
        <v>1031316.6666666667</v>
      </c>
      <c r="Q192" s="56">
        <f t="shared" si="166"/>
        <v>1031316.6666666667</v>
      </c>
      <c r="R192" s="56">
        <f t="shared" si="166"/>
        <v>1031316.6666666667</v>
      </c>
      <c r="S192" s="56">
        <f t="shared" si="166"/>
        <v>1031316.6666666667</v>
      </c>
      <c r="T192" s="58">
        <f>SUM(L192:S192)</f>
        <v>6810866.6666666679</v>
      </c>
      <c r="U192" s="56">
        <f t="shared" ref="U192:AF192" si="167">SUM(U189:U191)</f>
        <v>1031316.6666666667</v>
      </c>
      <c r="V192" s="56">
        <f t="shared" si="167"/>
        <v>1031316.6666666667</v>
      </c>
      <c r="W192" s="56">
        <f t="shared" si="167"/>
        <v>1031316.6666666667</v>
      </c>
      <c r="X192" s="56">
        <f t="shared" si="167"/>
        <v>1031316.6666666667</v>
      </c>
      <c r="Y192" s="56">
        <f t="shared" si="167"/>
        <v>1031316.6666666667</v>
      </c>
      <c r="Z192" s="56">
        <f t="shared" si="167"/>
        <v>1031316.6666666667</v>
      </c>
      <c r="AA192" s="56">
        <f t="shared" si="167"/>
        <v>1031316.6666666667</v>
      </c>
      <c r="AB192" s="56">
        <f t="shared" si="167"/>
        <v>1031316.6666666667</v>
      </c>
      <c r="AC192" s="56">
        <f t="shared" si="167"/>
        <v>1031316.6666666667</v>
      </c>
      <c r="AD192" s="56">
        <f t="shared" si="167"/>
        <v>1031316.6666666667</v>
      </c>
      <c r="AE192" s="56">
        <f t="shared" si="167"/>
        <v>1031316.6666666667</v>
      </c>
      <c r="AF192" s="56">
        <f t="shared" si="167"/>
        <v>1031316.6666666667</v>
      </c>
      <c r="AG192" s="58">
        <f>SUM(U192:AF192)</f>
        <v>12375800</v>
      </c>
      <c r="AH192" s="56">
        <f>T192+AG192</f>
        <v>19186666.666666668</v>
      </c>
      <c r="AI192" s="54"/>
      <c r="AJ192" s="54"/>
    </row>
    <row r="193" spans="1:3" ht="15" customHeight="1">
      <c r="A193" s="90"/>
      <c r="B193" s="73"/>
      <c r="C193" s="63"/>
    </row>
    <row r="194" spans="1:3" ht="15" customHeight="1">
      <c r="A194" s="90"/>
      <c r="B194" s="73"/>
      <c r="C194" s="63"/>
    </row>
    <row r="195" spans="1:3" ht="15" customHeight="1">
      <c r="A195" s="90" t="s">
        <v>176</v>
      </c>
      <c r="B195" s="73"/>
      <c r="C195" s="63"/>
    </row>
    <row r="196" spans="1:3" ht="15" customHeight="1">
      <c r="A196" s="89" t="s">
        <v>177</v>
      </c>
      <c r="B196" s="73" t="s">
        <v>178</v>
      </c>
      <c r="C196" s="63"/>
    </row>
    <row r="197" spans="1:3" ht="15" customHeight="1">
      <c r="A197" s="91" t="s">
        <v>179</v>
      </c>
      <c r="B197" s="73" t="s">
        <v>180</v>
      </c>
      <c r="C197" s="63"/>
    </row>
    <row r="198" spans="1:3" ht="15" customHeight="1">
      <c r="A198" s="92" t="s">
        <v>181</v>
      </c>
      <c r="B198" t="s">
        <v>182</v>
      </c>
    </row>
    <row r="199" spans="1:3" ht="15" customHeight="1">
      <c r="A199" s="93" t="s">
        <v>183</v>
      </c>
      <c r="B199" t="s">
        <v>184</v>
      </c>
    </row>
    <row r="200" spans="1:3" ht="15" customHeight="1">
      <c r="A200" s="94" t="s">
        <v>185</v>
      </c>
      <c r="B200" s="95" t="s">
        <v>186</v>
      </c>
      <c r="C200" s="95"/>
    </row>
    <row r="201" spans="1:3" ht="15" customHeight="1">
      <c r="A201" s="96" t="s">
        <v>187</v>
      </c>
      <c r="B201" s="73" t="s">
        <v>188</v>
      </c>
      <c r="C201" s="63"/>
    </row>
    <row r="202" spans="1:3" ht="15" customHeight="1">
      <c r="A202" s="97" t="s">
        <v>189</v>
      </c>
      <c r="B202" s="73" t="s">
        <v>190</v>
      </c>
      <c r="C202" s="63"/>
    </row>
    <row r="203" spans="1:3" ht="15" customHeight="1">
      <c r="A203" s="90" t="s">
        <v>191</v>
      </c>
      <c r="B203" s="73" t="s">
        <v>192</v>
      </c>
      <c r="C203" s="63"/>
    </row>
    <row r="204" spans="1:3" ht="15" customHeight="1">
      <c r="A204" s="90" t="s">
        <v>193</v>
      </c>
      <c r="B204" s="73" t="s">
        <v>194</v>
      </c>
      <c r="C204" s="63"/>
    </row>
    <row r="205" spans="1:3" ht="15" customHeight="1">
      <c r="B205" s="73"/>
      <c r="C205" s="63"/>
    </row>
    <row r="206" spans="1:3" ht="15" customHeight="1">
      <c r="A206" s="90" t="s">
        <v>195</v>
      </c>
      <c r="B206" s="73"/>
      <c r="C206" s="63"/>
    </row>
    <row r="207" spans="1:3" ht="15" customHeight="1">
      <c r="A207" s="98" t="s">
        <v>196</v>
      </c>
      <c r="B207" s="73" t="s">
        <v>197</v>
      </c>
      <c r="C207" s="63"/>
    </row>
    <row r="208" spans="1:3" ht="15" customHeight="1">
      <c r="A208" s="99" t="s">
        <v>198</v>
      </c>
      <c r="B208" t="s">
        <v>199</v>
      </c>
    </row>
    <row r="209" spans="1:4" ht="15" customHeight="1">
      <c r="A209" s="475" t="s">
        <v>200</v>
      </c>
      <c r="B209" s="475"/>
      <c r="C209" s="475"/>
      <c r="D209" s="475"/>
    </row>
    <row r="210" spans="1:4" ht="15" customHeight="1">
      <c r="B210" s="95" t="s">
        <v>10</v>
      </c>
      <c r="C210" s="95" t="s">
        <v>201</v>
      </c>
    </row>
    <row r="211" spans="1:4" ht="15" customHeight="1">
      <c r="B211" s="73" t="s">
        <v>22</v>
      </c>
      <c r="C211" s="63">
        <v>0</v>
      </c>
    </row>
    <row r="212" spans="1:4" ht="15" customHeight="1">
      <c r="B212" s="73" t="s">
        <v>20</v>
      </c>
      <c r="C212" s="63">
        <v>0.2</v>
      </c>
    </row>
    <row r="213" spans="1:4" ht="15" customHeight="1">
      <c r="B213" s="73" t="s">
        <v>19</v>
      </c>
      <c r="C213" s="63">
        <v>0.4</v>
      </c>
    </row>
    <row r="214" spans="1:4" ht="15" customHeight="1">
      <c r="B214" s="73" t="s">
        <v>18</v>
      </c>
      <c r="C214" s="63">
        <v>0.6</v>
      </c>
    </row>
    <row r="215" spans="1:4" ht="15" customHeight="1">
      <c r="B215" s="73" t="s">
        <v>17</v>
      </c>
      <c r="C215" s="63">
        <v>0.75</v>
      </c>
    </row>
    <row r="216" spans="1:4" ht="15" customHeight="1">
      <c r="B216" s="73" t="s">
        <v>16</v>
      </c>
      <c r="C216" s="63">
        <v>0.9</v>
      </c>
    </row>
    <row r="217" spans="1:4" ht="15" customHeight="1">
      <c r="B217" s="73" t="s">
        <v>21</v>
      </c>
      <c r="C217" s="63">
        <v>1</v>
      </c>
    </row>
  </sheetData>
  <autoFilter ref="A5:AJ45" xr:uid="{00000000-0009-0000-0000-000001000000}"/>
  <mergeCells count="11">
    <mergeCell ref="A1:AJ1"/>
    <mergeCell ref="A4:AJ4"/>
    <mergeCell ref="A69:AJ69"/>
    <mergeCell ref="A134:AJ134"/>
    <mergeCell ref="A140:AJ140"/>
    <mergeCell ref="A209:D209"/>
    <mergeCell ref="A149:AJ149"/>
    <mergeCell ref="A158:AJ158"/>
    <mergeCell ref="A160:AJ160"/>
    <mergeCell ref="A172:AJ172"/>
    <mergeCell ref="A187:AJ187"/>
  </mergeCells>
  <conditionalFormatting sqref="A6:AJ45">
    <cfRule type="expression" dxfId="0" priority="2">
      <formula>ISNUMBER(SEARCH("⚠",$AJ6))</formula>
    </cfRule>
  </conditionalFormatting>
  <dataValidations count="2">
    <dataValidation type="list" allowBlank="1" sqref="D6:D45" xr:uid="{00000000-0002-0000-0100-000000000000}">
      <formula1>"Prospecting,Qualified,Shortlisted,Proposal Sent,Contract Negotiation,Closed Won,Closed Lost"</formula1>
      <formula2>0</formula2>
    </dataValidation>
    <dataValidation type="list" allowBlank="1" sqref="F6:F45" xr:uid="{00000000-0002-0000-0100-000001000000}">
      <formula1>"Dammam Port,Dammam 2nd Ind,Jubail 1,Jubail 2,Jeddah Modon 3A,Jeddah Modon 3B,RUH Tayba,Subcontractor,Contract Logistics"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M74"/>
  <sheetViews>
    <sheetView zoomScaleNormal="100" workbookViewId="0">
      <pane xSplit="1" ySplit="2" topLeftCell="B12" activePane="bottomRight" state="frozen"/>
      <selection pane="topRight" activeCell="B1" sqref="B1"/>
      <selection pane="bottomLeft" activeCell="A23" sqref="A23"/>
      <selection pane="bottomRight" activeCell="I52" sqref="I52"/>
    </sheetView>
  </sheetViews>
  <sheetFormatPr defaultColWidth="8.7109375" defaultRowHeight="15"/>
  <cols>
    <col min="1" max="1" width="16.85546875" customWidth="1"/>
    <col min="2" max="2" width="22.28515625" customWidth="1"/>
    <col min="3" max="3" width="43.7109375" customWidth="1"/>
    <col min="4" max="4" width="31.7109375" customWidth="1"/>
    <col min="5" max="5" width="18" customWidth="1"/>
    <col min="6" max="6" width="9.7109375" customWidth="1"/>
    <col min="7" max="7" width="10" customWidth="1"/>
    <col min="8" max="8" width="12.42578125" customWidth="1"/>
    <col min="9" max="9" width="14.7109375" customWidth="1"/>
    <col min="10" max="10" width="23.5703125" customWidth="1"/>
    <col min="11" max="11" width="14" customWidth="1"/>
    <col min="12" max="12" width="11.85546875" customWidth="1"/>
    <col min="13" max="13" width="111" customWidth="1"/>
  </cols>
  <sheetData>
    <row r="1" spans="1:13" ht="31.5" customHeight="1">
      <c r="A1" s="480" t="s">
        <v>202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</row>
    <row r="2" spans="1:13" ht="30" customHeight="1">
      <c r="A2" s="100" t="s">
        <v>25</v>
      </c>
      <c r="B2" s="100" t="s">
        <v>203</v>
      </c>
      <c r="C2" s="100" t="s">
        <v>204</v>
      </c>
      <c r="D2" s="100" t="s">
        <v>205</v>
      </c>
      <c r="E2" s="100" t="s">
        <v>50</v>
      </c>
      <c r="F2" s="100" t="s">
        <v>206</v>
      </c>
      <c r="G2" s="100" t="s">
        <v>207</v>
      </c>
      <c r="H2" s="100" t="s">
        <v>208</v>
      </c>
      <c r="I2" s="42" t="s">
        <v>209</v>
      </c>
      <c r="J2" s="42" t="s">
        <v>10</v>
      </c>
      <c r="K2" s="42" t="s">
        <v>210</v>
      </c>
      <c r="L2" s="100" t="s">
        <v>211</v>
      </c>
      <c r="M2" s="100" t="s">
        <v>123</v>
      </c>
    </row>
    <row r="3" spans="1:13" ht="15" customHeight="1">
      <c r="A3" s="101">
        <v>1</v>
      </c>
      <c r="B3" s="102" t="s">
        <v>212</v>
      </c>
      <c r="C3" s="102" t="s">
        <v>213</v>
      </c>
      <c r="D3" s="102" t="s">
        <v>214</v>
      </c>
      <c r="E3" s="102" t="s">
        <v>215</v>
      </c>
      <c r="F3" s="103">
        <v>4000</v>
      </c>
      <c r="G3" s="103">
        <v>0</v>
      </c>
      <c r="H3" s="104">
        <v>1200000</v>
      </c>
      <c r="I3" s="104">
        <v>2400000</v>
      </c>
      <c r="J3" s="43" t="s">
        <v>20</v>
      </c>
      <c r="K3" s="105">
        <v>46204</v>
      </c>
      <c r="L3" s="43" t="s">
        <v>216</v>
      </c>
      <c r="M3" s="102" t="s">
        <v>217</v>
      </c>
    </row>
    <row r="4" spans="1:13" ht="15" customHeight="1">
      <c r="A4" s="101">
        <v>2</v>
      </c>
      <c r="B4" s="102" t="s">
        <v>212</v>
      </c>
      <c r="C4" s="102" t="s">
        <v>218</v>
      </c>
      <c r="D4" s="102" t="s">
        <v>219</v>
      </c>
      <c r="E4" s="102" t="s">
        <v>215</v>
      </c>
      <c r="F4" s="103">
        <v>4000</v>
      </c>
      <c r="G4" s="103">
        <v>0</v>
      </c>
      <c r="H4" s="104">
        <v>1400000</v>
      </c>
      <c r="I4" s="104">
        <v>2400000</v>
      </c>
      <c r="J4" s="43" t="s">
        <v>16</v>
      </c>
      <c r="K4" s="105">
        <v>46174</v>
      </c>
      <c r="L4" s="43" t="s">
        <v>216</v>
      </c>
      <c r="M4" s="102" t="s">
        <v>220</v>
      </c>
    </row>
    <row r="5" spans="1:13" ht="15" customHeight="1">
      <c r="A5" s="101">
        <v>3</v>
      </c>
      <c r="B5" s="102" t="s">
        <v>212</v>
      </c>
      <c r="C5" s="102" t="s">
        <v>221</v>
      </c>
      <c r="D5" s="102" t="s">
        <v>222</v>
      </c>
      <c r="E5" s="102" t="s">
        <v>215</v>
      </c>
      <c r="F5" s="103">
        <v>1500</v>
      </c>
      <c r="G5" s="103">
        <v>0</v>
      </c>
      <c r="H5" s="104">
        <v>600000</v>
      </c>
      <c r="I5" s="104">
        <v>900000</v>
      </c>
      <c r="J5" s="43" t="s">
        <v>16</v>
      </c>
      <c r="K5" s="105">
        <v>46157</v>
      </c>
      <c r="L5" s="43" t="s">
        <v>216</v>
      </c>
      <c r="M5" s="102" t="s">
        <v>223</v>
      </c>
    </row>
    <row r="6" spans="1:13" ht="15" customHeight="1">
      <c r="A6" s="101">
        <v>4</v>
      </c>
      <c r="B6" s="102" t="s">
        <v>212</v>
      </c>
      <c r="C6" s="102" t="s">
        <v>224</v>
      </c>
      <c r="D6" s="102" t="s">
        <v>225</v>
      </c>
      <c r="E6" s="102" t="s">
        <v>215</v>
      </c>
      <c r="F6" s="103">
        <v>500</v>
      </c>
      <c r="G6" s="103">
        <v>0</v>
      </c>
      <c r="H6" s="104">
        <v>280000</v>
      </c>
      <c r="I6" s="104">
        <v>420000</v>
      </c>
      <c r="J6" s="43" t="s">
        <v>18</v>
      </c>
      <c r="K6" s="105">
        <v>46143</v>
      </c>
      <c r="L6" s="43" t="s">
        <v>216</v>
      </c>
      <c r="M6" s="102" t="s">
        <v>226</v>
      </c>
    </row>
    <row r="7" spans="1:13" ht="15" customHeight="1">
      <c r="A7" s="101">
        <v>5</v>
      </c>
      <c r="B7" s="102" t="s">
        <v>212</v>
      </c>
      <c r="C7" s="102" t="s">
        <v>227</v>
      </c>
      <c r="D7" s="102" t="s">
        <v>228</v>
      </c>
      <c r="E7" s="102" t="s">
        <v>215</v>
      </c>
      <c r="F7" s="103">
        <v>400</v>
      </c>
      <c r="G7" s="103">
        <v>0</v>
      </c>
      <c r="H7" s="104">
        <v>164000</v>
      </c>
      <c r="I7" s="104">
        <v>264000</v>
      </c>
      <c r="J7" s="43" t="s">
        <v>18</v>
      </c>
      <c r="K7" s="105">
        <v>46143</v>
      </c>
      <c r="L7" s="43" t="s">
        <v>216</v>
      </c>
      <c r="M7" s="102" t="s">
        <v>229</v>
      </c>
    </row>
    <row r="8" spans="1:13" ht="15" customHeight="1">
      <c r="A8" s="101">
        <v>6</v>
      </c>
      <c r="B8" s="102" t="s">
        <v>212</v>
      </c>
      <c r="C8" s="102" t="s">
        <v>230</v>
      </c>
      <c r="D8" s="102" t="s">
        <v>231</v>
      </c>
      <c r="E8" s="102" t="s">
        <v>215</v>
      </c>
      <c r="F8" s="103">
        <v>250</v>
      </c>
      <c r="G8" s="103">
        <v>0</v>
      </c>
      <c r="H8" s="104">
        <v>87500</v>
      </c>
      <c r="I8" s="104">
        <v>210000</v>
      </c>
      <c r="J8" s="43" t="s">
        <v>18</v>
      </c>
      <c r="K8" s="105">
        <v>46235</v>
      </c>
      <c r="L8" s="43" t="s">
        <v>216</v>
      </c>
      <c r="M8" s="102" t="s">
        <v>232</v>
      </c>
    </row>
    <row r="9" spans="1:13" ht="15" customHeight="1">
      <c r="A9" s="101">
        <v>7</v>
      </c>
      <c r="B9" s="102" t="s">
        <v>212</v>
      </c>
      <c r="C9" s="102" t="s">
        <v>233</v>
      </c>
      <c r="D9" s="102" t="s">
        <v>225</v>
      </c>
      <c r="E9" s="102" t="s">
        <v>215</v>
      </c>
      <c r="F9" s="103">
        <v>250</v>
      </c>
      <c r="G9" s="103">
        <v>0</v>
      </c>
      <c r="H9" s="104">
        <v>113750</v>
      </c>
      <c r="I9" s="104">
        <v>162500</v>
      </c>
      <c r="J9" s="43" t="s">
        <v>18</v>
      </c>
      <c r="K9" s="105">
        <v>46174</v>
      </c>
      <c r="L9" s="43" t="s">
        <v>216</v>
      </c>
      <c r="M9" s="102" t="s">
        <v>234</v>
      </c>
    </row>
    <row r="10" spans="1:13" ht="15" customHeight="1">
      <c r="A10" s="101">
        <v>8</v>
      </c>
      <c r="B10" s="102" t="s">
        <v>212</v>
      </c>
      <c r="C10" s="102" t="s">
        <v>235</v>
      </c>
      <c r="D10" s="102" t="s">
        <v>236</v>
      </c>
      <c r="E10" s="102" t="s">
        <v>215</v>
      </c>
      <c r="F10" s="103">
        <v>250</v>
      </c>
      <c r="G10" s="103">
        <v>0</v>
      </c>
      <c r="H10" s="104">
        <v>100000</v>
      </c>
      <c r="I10" s="104">
        <v>150000</v>
      </c>
      <c r="J10" s="43" t="s">
        <v>18</v>
      </c>
      <c r="K10" s="105">
        <v>46143</v>
      </c>
      <c r="L10" s="43" t="s">
        <v>216</v>
      </c>
      <c r="M10" s="102" t="s">
        <v>237</v>
      </c>
    </row>
    <row r="11" spans="1:13" ht="15" customHeight="1">
      <c r="A11" s="101">
        <v>9</v>
      </c>
      <c r="B11" s="102" t="s">
        <v>212</v>
      </c>
      <c r="C11" s="102" t="s">
        <v>238</v>
      </c>
      <c r="D11" s="102" t="s">
        <v>239</v>
      </c>
      <c r="E11" s="102" t="s">
        <v>215</v>
      </c>
      <c r="F11" s="103">
        <v>100</v>
      </c>
      <c r="G11" s="103">
        <v>0</v>
      </c>
      <c r="H11" s="104">
        <v>35000</v>
      </c>
      <c r="I11" s="104">
        <v>50000</v>
      </c>
      <c r="J11" s="43" t="s">
        <v>18</v>
      </c>
      <c r="K11" s="105">
        <v>46174</v>
      </c>
      <c r="L11" s="43" t="s">
        <v>216</v>
      </c>
      <c r="M11" s="102" t="s">
        <v>240</v>
      </c>
    </row>
    <row r="12" spans="1:13" ht="15" customHeight="1">
      <c r="A12" s="101">
        <v>10</v>
      </c>
      <c r="B12" s="102" t="s">
        <v>212</v>
      </c>
      <c r="C12" s="102" t="s">
        <v>241</v>
      </c>
      <c r="D12" s="102" t="s">
        <v>242</v>
      </c>
      <c r="E12" s="102" t="s">
        <v>215</v>
      </c>
      <c r="F12" s="103">
        <v>100</v>
      </c>
      <c r="G12" s="103">
        <v>0</v>
      </c>
      <c r="H12" s="104">
        <v>39000</v>
      </c>
      <c r="I12" s="104">
        <v>78000</v>
      </c>
      <c r="J12" s="43" t="s">
        <v>18</v>
      </c>
      <c r="K12" s="105">
        <v>46204</v>
      </c>
      <c r="L12" s="43" t="s">
        <v>216</v>
      </c>
      <c r="M12" s="102" t="s">
        <v>243</v>
      </c>
    </row>
    <row r="13" spans="1:13" ht="15" customHeight="1">
      <c r="A13" s="101">
        <v>11</v>
      </c>
      <c r="B13" s="102" t="s">
        <v>38</v>
      </c>
      <c r="C13" s="102" t="s">
        <v>244</v>
      </c>
      <c r="D13" s="102" t="s">
        <v>245</v>
      </c>
      <c r="E13" s="102" t="s">
        <v>215</v>
      </c>
      <c r="F13" s="103">
        <v>1400</v>
      </c>
      <c r="G13" s="103">
        <v>0</v>
      </c>
      <c r="H13" s="104">
        <v>539000</v>
      </c>
      <c r="I13" s="104">
        <v>924000</v>
      </c>
      <c r="J13" s="43" t="s">
        <v>17</v>
      </c>
      <c r="K13" s="105">
        <v>46174</v>
      </c>
      <c r="L13" s="43" t="s">
        <v>216</v>
      </c>
      <c r="M13" s="102" t="s">
        <v>246</v>
      </c>
    </row>
    <row r="14" spans="1:13" ht="15" customHeight="1">
      <c r="A14" s="101">
        <v>12</v>
      </c>
      <c r="B14" s="102" t="s">
        <v>38</v>
      </c>
      <c r="C14" s="102" t="s">
        <v>247</v>
      </c>
      <c r="D14" s="102" t="s">
        <v>248</v>
      </c>
      <c r="E14" s="102" t="s">
        <v>215</v>
      </c>
      <c r="F14" s="103">
        <v>1000</v>
      </c>
      <c r="G14" s="103">
        <v>0</v>
      </c>
      <c r="H14" s="104">
        <v>484000</v>
      </c>
      <c r="I14" s="104">
        <v>726000</v>
      </c>
      <c r="J14" s="43" t="s">
        <v>17</v>
      </c>
      <c r="K14" s="105">
        <v>46143</v>
      </c>
      <c r="L14" s="43" t="s">
        <v>216</v>
      </c>
      <c r="M14" s="102" t="s">
        <v>249</v>
      </c>
    </row>
    <row r="15" spans="1:13" ht="15" customHeight="1">
      <c r="A15" s="101">
        <v>13</v>
      </c>
      <c r="B15" s="102" t="s">
        <v>38</v>
      </c>
      <c r="C15" s="102" t="s">
        <v>250</v>
      </c>
      <c r="D15" s="102" t="s">
        <v>251</v>
      </c>
      <c r="E15" s="102" t="s">
        <v>215</v>
      </c>
      <c r="F15" s="103">
        <v>730</v>
      </c>
      <c r="G15" s="103">
        <v>0</v>
      </c>
      <c r="H15" s="104">
        <v>323400</v>
      </c>
      <c r="I15" s="104">
        <v>138600</v>
      </c>
      <c r="J15" s="43" t="s">
        <v>17</v>
      </c>
      <c r="K15" s="105">
        <v>46188</v>
      </c>
      <c r="L15" s="43" t="s">
        <v>216</v>
      </c>
      <c r="M15" s="102" t="s">
        <v>252</v>
      </c>
    </row>
    <row r="16" spans="1:13" ht="15" customHeight="1">
      <c r="A16" s="101">
        <v>14</v>
      </c>
      <c r="B16" s="102" t="s">
        <v>38</v>
      </c>
      <c r="C16" s="102" t="s">
        <v>253</v>
      </c>
      <c r="D16" s="102" t="s">
        <v>254</v>
      </c>
      <c r="E16" s="102" t="s">
        <v>215</v>
      </c>
      <c r="F16" s="103">
        <v>500</v>
      </c>
      <c r="G16" s="103">
        <v>0</v>
      </c>
      <c r="H16" s="104">
        <v>154000</v>
      </c>
      <c r="I16" s="104">
        <v>297000</v>
      </c>
      <c r="J16" s="43" t="s">
        <v>18</v>
      </c>
      <c r="K16" s="105">
        <v>46174</v>
      </c>
      <c r="L16" s="43" t="s">
        <v>216</v>
      </c>
      <c r="M16" s="102" t="s">
        <v>255</v>
      </c>
    </row>
    <row r="17" spans="1:13" ht="15" customHeight="1">
      <c r="A17" s="101">
        <v>15</v>
      </c>
      <c r="B17" s="102" t="s">
        <v>39</v>
      </c>
      <c r="C17" s="102" t="s">
        <v>256</v>
      </c>
      <c r="D17" s="102" t="s">
        <v>257</v>
      </c>
      <c r="E17" s="102" t="s">
        <v>215</v>
      </c>
      <c r="F17" s="103">
        <v>1200</v>
      </c>
      <c r="G17" s="103">
        <v>0</v>
      </c>
      <c r="H17" s="104">
        <v>201600</v>
      </c>
      <c r="I17" s="104">
        <v>550000</v>
      </c>
      <c r="J17" s="43" t="s">
        <v>18</v>
      </c>
      <c r="K17" s="105">
        <v>46266</v>
      </c>
      <c r="L17" s="43" t="s">
        <v>216</v>
      </c>
      <c r="M17" s="102" t="s">
        <v>258</v>
      </c>
    </row>
    <row r="18" spans="1:13" ht="15" customHeight="1">
      <c r="A18" s="101">
        <v>16</v>
      </c>
      <c r="B18" s="102" t="s">
        <v>39</v>
      </c>
      <c r="C18" s="102" t="s">
        <v>259</v>
      </c>
      <c r="D18" s="102" t="s">
        <v>260</v>
      </c>
      <c r="E18" s="102" t="s">
        <v>215</v>
      </c>
      <c r="F18" s="103">
        <v>0</v>
      </c>
      <c r="G18" s="103">
        <v>15000</v>
      </c>
      <c r="H18" s="104">
        <v>425000</v>
      </c>
      <c r="I18" s="104">
        <v>850000</v>
      </c>
      <c r="J18" s="43" t="s">
        <v>17</v>
      </c>
      <c r="K18" s="105">
        <v>46204</v>
      </c>
      <c r="L18" s="43" t="s">
        <v>261</v>
      </c>
      <c r="M18" s="102" t="s">
        <v>262</v>
      </c>
    </row>
    <row r="19" spans="1:13" ht="15" customHeight="1">
      <c r="A19" s="101">
        <v>17</v>
      </c>
      <c r="B19" s="102" t="s">
        <v>263</v>
      </c>
      <c r="C19" s="102" t="s">
        <v>264</v>
      </c>
      <c r="D19" s="102" t="s">
        <v>265</v>
      </c>
      <c r="E19" s="102" t="s">
        <v>266</v>
      </c>
      <c r="F19" s="103">
        <v>3000</v>
      </c>
      <c r="G19" s="103">
        <v>0</v>
      </c>
      <c r="H19" s="104">
        <v>675000</v>
      </c>
      <c r="I19" s="104">
        <v>1620000</v>
      </c>
      <c r="J19" s="43" t="s">
        <v>18</v>
      </c>
      <c r="K19" s="105">
        <v>46235</v>
      </c>
      <c r="L19" s="43" t="s">
        <v>261</v>
      </c>
      <c r="M19" s="102" t="s">
        <v>267</v>
      </c>
    </row>
    <row r="20" spans="1:13" ht="15" customHeight="1">
      <c r="A20" s="101">
        <v>18</v>
      </c>
      <c r="B20" s="102" t="s">
        <v>263</v>
      </c>
      <c r="C20" s="102" t="s">
        <v>268</v>
      </c>
      <c r="D20" s="102" t="s">
        <v>269</v>
      </c>
      <c r="E20" s="102" t="s">
        <v>266</v>
      </c>
      <c r="F20" s="103">
        <v>3000</v>
      </c>
      <c r="G20" s="103">
        <v>0</v>
      </c>
      <c r="H20" s="104">
        <v>1080000</v>
      </c>
      <c r="I20" s="104">
        <v>1080000</v>
      </c>
      <c r="J20" s="43" t="s">
        <v>16</v>
      </c>
      <c r="K20" s="105">
        <v>46143</v>
      </c>
      <c r="L20" s="43" t="s">
        <v>261</v>
      </c>
      <c r="M20" s="102" t="s">
        <v>270</v>
      </c>
    </row>
    <row r="21" spans="1:13" ht="15" customHeight="1">
      <c r="A21" s="101">
        <v>19</v>
      </c>
      <c r="B21" s="102" t="s">
        <v>263</v>
      </c>
      <c r="C21" s="102" t="s">
        <v>271</v>
      </c>
      <c r="D21" s="102" t="s">
        <v>272</v>
      </c>
      <c r="E21" s="102" t="s">
        <v>266</v>
      </c>
      <c r="F21" s="103">
        <v>1500</v>
      </c>
      <c r="G21" s="103">
        <v>0</v>
      </c>
      <c r="H21" s="104">
        <v>519750</v>
      </c>
      <c r="I21" s="104">
        <v>891000</v>
      </c>
      <c r="J21" s="43" t="s">
        <v>17</v>
      </c>
      <c r="K21" s="105">
        <v>46174</v>
      </c>
      <c r="L21" s="43" t="s">
        <v>261</v>
      </c>
      <c r="M21" s="102" t="s">
        <v>273</v>
      </c>
    </row>
    <row r="22" spans="1:13" ht="15" customHeight="1">
      <c r="A22" s="101">
        <v>20</v>
      </c>
      <c r="B22" s="102" t="s">
        <v>263</v>
      </c>
      <c r="C22" s="102" t="s">
        <v>274</v>
      </c>
      <c r="D22" s="102" t="s">
        <v>275</v>
      </c>
      <c r="E22" s="102" t="s">
        <v>276</v>
      </c>
      <c r="F22" s="103">
        <v>800</v>
      </c>
      <c r="G22" s="103">
        <v>0</v>
      </c>
      <c r="H22" s="104">
        <v>347200</v>
      </c>
      <c r="I22" s="104">
        <v>595200</v>
      </c>
      <c r="J22" s="43" t="s">
        <v>18</v>
      </c>
      <c r="K22" s="105">
        <v>46174</v>
      </c>
      <c r="L22" s="43" t="s">
        <v>261</v>
      </c>
      <c r="M22" s="102" t="s">
        <v>277</v>
      </c>
    </row>
    <row r="23" spans="1:13" ht="15" customHeight="1">
      <c r="A23" s="101">
        <v>21</v>
      </c>
      <c r="B23" s="102" t="s">
        <v>263</v>
      </c>
      <c r="C23" s="102" t="s">
        <v>278</v>
      </c>
      <c r="D23" s="102" t="s">
        <v>279</v>
      </c>
      <c r="E23" s="102" t="s">
        <v>215</v>
      </c>
      <c r="F23" s="103">
        <v>500</v>
      </c>
      <c r="G23" s="103">
        <v>0</v>
      </c>
      <c r="H23" s="104">
        <v>198000</v>
      </c>
      <c r="I23" s="104">
        <v>396000</v>
      </c>
      <c r="J23" s="43" t="s">
        <v>18</v>
      </c>
      <c r="K23" s="105">
        <v>46204</v>
      </c>
      <c r="L23" s="43" t="s">
        <v>261</v>
      </c>
      <c r="M23" s="102" t="s">
        <v>280</v>
      </c>
    </row>
    <row r="24" spans="1:13" ht="15" customHeight="1">
      <c r="A24" s="101">
        <v>22</v>
      </c>
      <c r="B24" s="102" t="s">
        <v>263</v>
      </c>
      <c r="C24" s="102" t="s">
        <v>281</v>
      </c>
      <c r="D24" s="102" t="s">
        <v>282</v>
      </c>
      <c r="E24" s="102" t="s">
        <v>283</v>
      </c>
      <c r="F24" s="103">
        <v>0</v>
      </c>
      <c r="G24" s="103">
        <v>4495</v>
      </c>
      <c r="H24" s="104">
        <v>660000</v>
      </c>
      <c r="I24" s="104">
        <v>4400000</v>
      </c>
      <c r="J24" s="43" t="s">
        <v>18</v>
      </c>
      <c r="K24" s="105">
        <v>46204</v>
      </c>
      <c r="L24" s="43" t="s">
        <v>261</v>
      </c>
      <c r="M24" s="102" t="s">
        <v>284</v>
      </c>
    </row>
    <row r="25" spans="1:13" ht="15" customHeight="1">
      <c r="A25" s="101">
        <v>23</v>
      </c>
      <c r="B25" s="102" t="s">
        <v>285</v>
      </c>
      <c r="C25" s="102" t="s">
        <v>286</v>
      </c>
      <c r="D25" s="102" t="s">
        <v>287</v>
      </c>
      <c r="E25" s="102" t="s">
        <v>266</v>
      </c>
      <c r="F25" s="103">
        <v>1400</v>
      </c>
      <c r="G25" s="103">
        <v>0</v>
      </c>
      <c r="H25" s="104">
        <v>252000</v>
      </c>
      <c r="I25" s="104">
        <v>504000</v>
      </c>
      <c r="J25" s="43" t="s">
        <v>18</v>
      </c>
      <c r="K25" s="105">
        <v>46204</v>
      </c>
      <c r="L25" s="43" t="s">
        <v>261</v>
      </c>
      <c r="M25" s="102" t="s">
        <v>288</v>
      </c>
    </row>
    <row r="26" spans="1:13" ht="15" customHeight="1">
      <c r="A26" s="101">
        <v>24</v>
      </c>
      <c r="B26" s="102" t="s">
        <v>285</v>
      </c>
      <c r="C26" s="102" t="s">
        <v>289</v>
      </c>
      <c r="D26" s="102" t="s">
        <v>242</v>
      </c>
      <c r="E26" s="102" t="s">
        <v>215</v>
      </c>
      <c r="F26" s="103">
        <v>900</v>
      </c>
      <c r="G26" s="103">
        <v>0</v>
      </c>
      <c r="H26" s="104">
        <v>253800</v>
      </c>
      <c r="I26" s="104">
        <v>507000</v>
      </c>
      <c r="J26" s="43" t="s">
        <v>18</v>
      </c>
      <c r="K26" s="105">
        <v>46204</v>
      </c>
      <c r="L26" s="43" t="s">
        <v>261</v>
      </c>
      <c r="M26" s="102" t="s">
        <v>290</v>
      </c>
    </row>
    <row r="27" spans="1:13" ht="15" customHeight="1">
      <c r="A27" s="101">
        <v>25</v>
      </c>
      <c r="B27" s="102" t="s">
        <v>285</v>
      </c>
      <c r="C27" s="102" t="s">
        <v>291</v>
      </c>
      <c r="D27" s="102" t="s">
        <v>292</v>
      </c>
      <c r="E27" s="102" t="s">
        <v>215</v>
      </c>
      <c r="F27" s="103">
        <v>250</v>
      </c>
      <c r="G27" s="103">
        <v>0</v>
      </c>
      <c r="H27" s="104">
        <v>69300</v>
      </c>
      <c r="I27" s="104">
        <v>127000</v>
      </c>
      <c r="J27" s="43" t="s">
        <v>18</v>
      </c>
      <c r="K27" s="105">
        <v>46204</v>
      </c>
      <c r="L27" s="43" t="s">
        <v>261</v>
      </c>
      <c r="M27" s="102" t="s">
        <v>293</v>
      </c>
    </row>
    <row r="28" spans="1:13" ht="15" customHeight="1">
      <c r="A28" s="101">
        <v>26</v>
      </c>
      <c r="B28" s="102" t="s">
        <v>285</v>
      </c>
      <c r="C28" s="102" t="s">
        <v>294</v>
      </c>
      <c r="D28" s="102" t="s">
        <v>295</v>
      </c>
      <c r="E28" s="102" t="s">
        <v>266</v>
      </c>
      <c r="F28" s="103">
        <v>0</v>
      </c>
      <c r="G28" s="103">
        <v>1500</v>
      </c>
      <c r="H28" s="104">
        <v>493500</v>
      </c>
      <c r="I28" s="104">
        <v>846000</v>
      </c>
      <c r="J28" s="43" t="s">
        <v>18</v>
      </c>
      <c r="K28" s="105">
        <v>46174</v>
      </c>
      <c r="L28" s="43" t="s">
        <v>261</v>
      </c>
      <c r="M28" s="102" t="s">
        <v>296</v>
      </c>
    </row>
    <row r="29" spans="1:13" ht="15" customHeight="1">
      <c r="A29" s="101">
        <v>27</v>
      </c>
      <c r="B29" s="102" t="s">
        <v>43</v>
      </c>
      <c r="C29" s="102" t="s">
        <v>297</v>
      </c>
      <c r="D29" s="102" t="s">
        <v>298</v>
      </c>
      <c r="E29" s="102" t="s">
        <v>276</v>
      </c>
      <c r="F29" s="103">
        <v>3000</v>
      </c>
      <c r="G29" s="103">
        <v>0</v>
      </c>
      <c r="H29" s="104">
        <v>580000</v>
      </c>
      <c r="I29" s="104">
        <v>1740000</v>
      </c>
      <c r="J29" s="43" t="s">
        <v>18</v>
      </c>
      <c r="K29" s="105">
        <v>46266</v>
      </c>
      <c r="L29" s="43" t="s">
        <v>299</v>
      </c>
      <c r="M29" s="102" t="s">
        <v>300</v>
      </c>
    </row>
    <row r="30" spans="1:13" ht="15" customHeight="1">
      <c r="A30" s="101">
        <v>28</v>
      </c>
      <c r="B30" s="102" t="s">
        <v>43</v>
      </c>
      <c r="C30" s="102" t="s">
        <v>301</v>
      </c>
      <c r="D30" s="102" t="s">
        <v>302</v>
      </c>
      <c r="E30" s="102" t="s">
        <v>266</v>
      </c>
      <c r="F30" s="103">
        <v>2500</v>
      </c>
      <c r="G30" s="103">
        <v>0</v>
      </c>
      <c r="H30" s="104">
        <v>339000</v>
      </c>
      <c r="I30" s="104">
        <v>6102000</v>
      </c>
      <c r="J30" s="43" t="s">
        <v>18</v>
      </c>
      <c r="K30" s="105">
        <v>46327</v>
      </c>
      <c r="L30" s="43" t="s">
        <v>299</v>
      </c>
      <c r="M30" s="102" t="s">
        <v>303</v>
      </c>
    </row>
    <row r="31" spans="1:13" ht="15" customHeight="1">
      <c r="A31" s="101">
        <v>29</v>
      </c>
      <c r="B31" s="102" t="s">
        <v>43</v>
      </c>
      <c r="C31" s="102" t="s">
        <v>304</v>
      </c>
      <c r="D31" s="102" t="s">
        <v>287</v>
      </c>
      <c r="E31" s="102" t="s">
        <v>266</v>
      </c>
      <c r="F31" s="103">
        <v>1200</v>
      </c>
      <c r="G31" s="103">
        <v>0</v>
      </c>
      <c r="H31" s="104">
        <v>252000</v>
      </c>
      <c r="I31" s="104">
        <v>504000</v>
      </c>
      <c r="J31" s="43" t="s">
        <v>18</v>
      </c>
      <c r="K31" s="105">
        <v>46204</v>
      </c>
      <c r="L31" s="43" t="s">
        <v>299</v>
      </c>
      <c r="M31" s="102" t="s">
        <v>305</v>
      </c>
    </row>
    <row r="32" spans="1:13" ht="15" customHeight="1">
      <c r="A32" s="101">
        <v>30</v>
      </c>
      <c r="B32" s="102" t="s">
        <v>43</v>
      </c>
      <c r="C32" s="102" t="s">
        <v>306</v>
      </c>
      <c r="D32" s="102" t="s">
        <v>302</v>
      </c>
      <c r="E32" s="102" t="s">
        <v>266</v>
      </c>
      <c r="F32" s="103">
        <v>0</v>
      </c>
      <c r="G32" s="103">
        <v>5000</v>
      </c>
      <c r="H32" s="104">
        <v>1012500</v>
      </c>
      <c r="I32" s="104">
        <v>2025000</v>
      </c>
      <c r="J32" s="43" t="s">
        <v>18</v>
      </c>
      <c r="K32" s="105">
        <v>46204</v>
      </c>
      <c r="L32" s="43" t="s">
        <v>299</v>
      </c>
      <c r="M32" s="102" t="s">
        <v>307</v>
      </c>
    </row>
    <row r="33" spans="1:13" ht="15" customHeight="1">
      <c r="A33" s="101">
        <v>31</v>
      </c>
      <c r="B33" s="102" t="s">
        <v>43</v>
      </c>
      <c r="C33" s="102" t="s">
        <v>308</v>
      </c>
      <c r="D33" s="102" t="s">
        <v>302</v>
      </c>
      <c r="E33" s="102" t="s">
        <v>266</v>
      </c>
      <c r="F33" s="103">
        <v>0</v>
      </c>
      <c r="G33" s="103">
        <v>150</v>
      </c>
      <c r="H33" s="104">
        <v>65360</v>
      </c>
      <c r="I33" s="104">
        <v>98046</v>
      </c>
      <c r="J33" s="43" t="s">
        <v>18</v>
      </c>
      <c r="K33" s="105">
        <v>46157</v>
      </c>
      <c r="L33" s="43" t="s">
        <v>299</v>
      </c>
      <c r="M33" s="102" t="s">
        <v>309</v>
      </c>
    </row>
    <row r="34" spans="1:13" ht="15" customHeight="1">
      <c r="A34" s="101">
        <v>32</v>
      </c>
      <c r="B34" s="102" t="s">
        <v>44</v>
      </c>
      <c r="C34" s="102" t="s">
        <v>310</v>
      </c>
      <c r="D34" s="102" t="s">
        <v>311</v>
      </c>
      <c r="E34" s="102" t="s">
        <v>215</v>
      </c>
      <c r="F34" s="103">
        <v>2500</v>
      </c>
      <c r="G34" s="103">
        <v>0</v>
      </c>
      <c r="H34" s="104">
        <v>1155000</v>
      </c>
      <c r="I34" s="104">
        <v>1000000</v>
      </c>
      <c r="J34" s="43" t="s">
        <v>18</v>
      </c>
      <c r="K34" s="105">
        <v>46174</v>
      </c>
      <c r="L34" s="43" t="s">
        <v>299</v>
      </c>
      <c r="M34" s="102" t="s">
        <v>312</v>
      </c>
    </row>
    <row r="35" spans="1:13" ht="15" customHeight="1">
      <c r="A35" s="101">
        <v>33</v>
      </c>
      <c r="B35" s="102" t="s">
        <v>44</v>
      </c>
      <c r="C35" s="102" t="s">
        <v>313</v>
      </c>
      <c r="D35" s="102" t="s">
        <v>269</v>
      </c>
      <c r="E35" s="102" t="s">
        <v>266</v>
      </c>
      <c r="F35" s="106">
        <v>2000</v>
      </c>
      <c r="G35" s="106">
        <v>0</v>
      </c>
      <c r="H35" s="104">
        <v>800000</v>
      </c>
      <c r="I35" s="107">
        <v>800000</v>
      </c>
      <c r="J35" s="43" t="s">
        <v>18</v>
      </c>
      <c r="K35" s="105">
        <v>46143</v>
      </c>
      <c r="L35" s="43" t="s">
        <v>299</v>
      </c>
      <c r="M35" s="102" t="s">
        <v>314</v>
      </c>
    </row>
    <row r="36" spans="1:13" ht="15" customHeight="1">
      <c r="A36" s="101">
        <v>34</v>
      </c>
      <c r="B36" s="102" t="s">
        <v>45</v>
      </c>
      <c r="C36" s="102" t="s">
        <v>315</v>
      </c>
      <c r="D36" s="102" t="s">
        <v>316</v>
      </c>
      <c r="E36" s="102" t="s">
        <v>215</v>
      </c>
      <c r="F36" s="106">
        <v>0</v>
      </c>
      <c r="G36" s="106">
        <v>0</v>
      </c>
      <c r="H36" s="104">
        <v>661111</v>
      </c>
      <c r="I36" s="107">
        <v>850000</v>
      </c>
      <c r="J36" s="43" t="s">
        <v>19</v>
      </c>
      <c r="K36" s="105">
        <v>46174</v>
      </c>
      <c r="L36" s="43" t="s">
        <v>216</v>
      </c>
      <c r="M36" s="102" t="s">
        <v>317</v>
      </c>
    </row>
    <row r="37" spans="1:13" ht="15" customHeight="1">
      <c r="A37" s="101">
        <v>35</v>
      </c>
      <c r="B37" s="102" t="s">
        <v>45</v>
      </c>
      <c r="C37" s="102" t="s">
        <v>318</v>
      </c>
      <c r="D37" s="102" t="s">
        <v>319</v>
      </c>
      <c r="E37" s="102" t="s">
        <v>283</v>
      </c>
      <c r="F37" s="106">
        <v>0</v>
      </c>
      <c r="G37" s="106">
        <v>0</v>
      </c>
      <c r="H37" s="104">
        <v>2257584</v>
      </c>
      <c r="I37" s="107">
        <v>1975386</v>
      </c>
      <c r="J37" s="43" t="s">
        <v>18</v>
      </c>
      <c r="K37" s="105">
        <v>46157</v>
      </c>
      <c r="L37" s="43" t="s">
        <v>261</v>
      </c>
      <c r="M37" s="102" t="s">
        <v>320</v>
      </c>
    </row>
    <row r="38" spans="1:13" ht="15" customHeight="1">
      <c r="A38" s="101">
        <v>36</v>
      </c>
      <c r="B38" s="102" t="str">
        <f>IF('Closed-won data Input'!B3="","",'Closed-won data Input'!B3)</f>
        <v>DMM Port</v>
      </c>
      <c r="C38" s="102" t="str">
        <f>IF('Closed-won data Input'!C3="","",'Closed-won data Input'!C3&amp;" (Closed Won)")</f>
        <v>SAUDI CARBONATE COMPANY (Closed Won)</v>
      </c>
      <c r="D38" s="102" t="str">
        <f>IF('Closed-won data Input'!C3="","",'Closed-won data Input'!C3)</f>
        <v>SAUDI CARBONATE COMPANY</v>
      </c>
      <c r="E38" s="102" t="str">
        <f>IF('Closed-won data Input'!D3="","",'Closed-won data Input'!D3)</f>
        <v>Yazan  Darwish</v>
      </c>
      <c r="F38" s="106">
        <f>IF('Closed-won data Input'!E3="",0,'Closed-won data Input'!E3)</f>
        <v>300</v>
      </c>
      <c r="G38" s="106">
        <f>IF('Closed-won data Input'!F3="",0,'Closed-won data Input'!F3)</f>
        <v>0</v>
      </c>
      <c r="H38" s="108">
        <f>IF('Closed-won data Input'!G3="",0,'Closed-won data Input'!G3)</f>
        <v>91200</v>
      </c>
      <c r="I38" s="109">
        <f>IF(OR('Closed-won data Input'!H3="",ISBLANK('Closed-won data Input'!H3)),0,'Closed-won data Input'!H3)</f>
        <v>0</v>
      </c>
      <c r="J38" s="43" t="str">
        <f>IF('Closed-won data Input'!J3="","",'Closed-won data Input'!J3)</f>
        <v>Closed Won</v>
      </c>
      <c r="K38" s="105">
        <f>IF('Closed-won data Input'!I3="","",'Closed-won data Input'!I3)</f>
        <v>46143</v>
      </c>
      <c r="L38" s="43" t="s">
        <v>216</v>
      </c>
      <c r="M38" s="102" t="s">
        <v>321</v>
      </c>
    </row>
    <row r="39" spans="1:13" ht="15" customHeight="1">
      <c r="A39" s="101">
        <v>37</v>
      </c>
      <c r="B39" s="102" t="str">
        <f>IF('Closed-won data Input'!B4="","",'Closed-won data Input'!B4)</f>
        <v>DMM 2nd Ind</v>
      </c>
      <c r="C39" s="102" t="str">
        <f>IF('Closed-won data Input'!C4="","",'Closed-won data Input'!C4&amp;" (Closed Won)")</f>
        <v>MEBCo (Clarios) (Closed Won)</v>
      </c>
      <c r="D39" s="102" t="str">
        <f>IF('Closed-won data Input'!C4="","",'Closed-won data Input'!C4)</f>
        <v>MEBCo (Clarios)</v>
      </c>
      <c r="E39" s="102" t="str">
        <f>IF('Closed-won data Input'!D4="","",'Closed-won data Input'!D4)</f>
        <v>Yazan  Darwish</v>
      </c>
      <c r="F39" s="106">
        <f>IF('Closed-won data Input'!E4="",0,'Closed-won data Input'!E4)</f>
        <v>900</v>
      </c>
      <c r="G39" s="106">
        <f>IF('Closed-won data Input'!F4="",0,'Closed-won data Input'!F4)</f>
        <v>0</v>
      </c>
      <c r="H39" s="108">
        <f>IF('Closed-won data Input'!G4="",0,'Closed-won data Input'!G4)</f>
        <v>540000</v>
      </c>
      <c r="I39" s="107">
        <f>IF(OR('Closed-won data Input'!H4="",ISBLANK('Closed-won data Input'!H4)),0,'Closed-won data Input'!H4)</f>
        <v>648000</v>
      </c>
      <c r="J39" s="43" t="str">
        <f>IF('Closed-won data Input'!J4="","",'Closed-won data Input'!J4)</f>
        <v>Closed Won</v>
      </c>
      <c r="K39" s="105">
        <f>IF('Closed-won data Input'!I4="","",'Closed-won data Input'!I4)</f>
        <v>46082</v>
      </c>
      <c r="L39" s="43" t="s">
        <v>216</v>
      </c>
      <c r="M39" s="102" t="s">
        <v>322</v>
      </c>
    </row>
    <row r="40" spans="1:13" ht="15" customHeight="1">
      <c r="A40" s="101">
        <v>38</v>
      </c>
      <c r="B40" s="102" t="str">
        <f>IF('Closed-won data Input'!B5="","",'Closed-won data Input'!B5)</f>
        <v>DMM 2nd Ind</v>
      </c>
      <c r="C40" s="102" t="str">
        <f>IF('Closed-won data Input'!C5="","",'Closed-won data Input'!C5&amp;" (Closed Won)")</f>
        <v>Rawabi Electric (Closed Won)</v>
      </c>
      <c r="D40" s="102" t="str">
        <f>IF('Closed-won data Input'!C5="","",'Closed-won data Input'!C5)</f>
        <v>Rawabi Electric</v>
      </c>
      <c r="E40" s="102" t="str">
        <f>IF('Closed-won data Input'!D5="","",'Closed-won data Input'!D5)</f>
        <v>Yazan  Darwish</v>
      </c>
      <c r="F40" s="106">
        <f>IF('Closed-won data Input'!E5="",0,'Closed-won data Input'!E5)</f>
        <v>440</v>
      </c>
      <c r="G40" s="106">
        <f>IF('Closed-won data Input'!F5="",0,'Closed-won data Input'!F5)</f>
        <v>0</v>
      </c>
      <c r="H40" s="108">
        <f>IF('Closed-won data Input'!G5="",0,'Closed-won data Input'!G5)</f>
        <v>211200</v>
      </c>
      <c r="I40" s="107">
        <f>IF(OR('Closed-won data Input'!H5="",ISBLANK('Closed-won data Input'!H5)),0,'Closed-won data Input'!H5)</f>
        <v>105600</v>
      </c>
      <c r="J40" s="43" t="str">
        <f>IF('Closed-won data Input'!J5="","",'Closed-won data Input'!J5)</f>
        <v>Closed Won</v>
      </c>
      <c r="K40" s="105">
        <f>IF('Closed-won data Input'!I5="","",'Closed-won data Input'!I5)</f>
        <v>46049</v>
      </c>
      <c r="L40" s="43" t="s">
        <v>216</v>
      </c>
      <c r="M40" s="102" t="s">
        <v>323</v>
      </c>
    </row>
    <row r="41" spans="1:13" ht="15" customHeight="1">
      <c r="A41" s="101">
        <v>39</v>
      </c>
      <c r="B41" s="102" t="str">
        <f>IF('Closed-won data Input'!B6="","",'Closed-won data Input'!B6)</f>
        <v>DMM 2nd Ind</v>
      </c>
      <c r="C41" s="102" t="str">
        <f>IF('Closed-won data Input'!C6="","",'Closed-won data Input'!C6&amp;" (Closed Won)")</f>
        <v>Dorfketal (Closed Won)</v>
      </c>
      <c r="D41" s="102" t="str">
        <f>IF('Closed-won data Input'!C6="","",'Closed-won data Input'!C6)</f>
        <v>Dorfketal</v>
      </c>
      <c r="E41" s="102" t="str">
        <f>IF('Closed-won data Input'!D6="","",'Closed-won data Input'!D6)</f>
        <v>Yazan  Darwish</v>
      </c>
      <c r="F41" s="106">
        <f>IF('Closed-won data Input'!E6="",0,'Closed-won data Input'!E6)</f>
        <v>200</v>
      </c>
      <c r="G41" s="106">
        <f>IF('Closed-won data Input'!F6="",0,'Closed-won data Input'!F6)</f>
        <v>0</v>
      </c>
      <c r="H41" s="108">
        <f>IF('Closed-won data Input'!G6="",0,'Closed-won data Input'!G6)</f>
        <v>86400</v>
      </c>
      <c r="I41" s="107">
        <f>IF(OR('Closed-won data Input'!H6="",ISBLANK('Closed-won data Input'!H6)),0,'Closed-won data Input'!H6)</f>
        <v>78000</v>
      </c>
      <c r="J41" s="43" t="str">
        <f>IF('Closed-won data Input'!J6="","",'Closed-won data Input'!J6)</f>
        <v>Closed Won</v>
      </c>
      <c r="K41" s="105">
        <f>IF('Closed-won data Input'!I6="","",'Closed-won data Input'!I6)</f>
        <v>46143</v>
      </c>
      <c r="L41" s="43" t="s">
        <v>216</v>
      </c>
      <c r="M41" s="102" t="s">
        <v>324</v>
      </c>
    </row>
    <row r="42" spans="1:13" ht="15" customHeight="1">
      <c r="A42" s="101">
        <v>40</v>
      </c>
      <c r="B42" s="102" t="str">
        <f>IF('Closed-won data Input'!B7="","",'Closed-won data Input'!B7)</f>
        <v>DMM 2nd Ind</v>
      </c>
      <c r="C42" s="102" t="str">
        <f>IF('Closed-won data Input'!C7="","",'Closed-won data Input'!C7&amp;" (Closed Won)")</f>
        <v>Rising Future (Closed Won)</v>
      </c>
      <c r="D42" s="102" t="str">
        <f>IF('Closed-won data Input'!C7="","",'Closed-won data Input'!C7)</f>
        <v>Rising Future</v>
      </c>
      <c r="E42" s="102" t="str">
        <f>IF('Closed-won data Input'!D7="","",'Closed-won data Input'!D7)</f>
        <v>Yazan  Darwish</v>
      </c>
      <c r="F42" s="106">
        <f>IF('Closed-won data Input'!E7="",0,'Closed-won data Input'!E7)</f>
        <v>50</v>
      </c>
      <c r="G42" s="106">
        <f>IF('Closed-won data Input'!F7="",0,'Closed-won data Input'!F7)</f>
        <v>0</v>
      </c>
      <c r="H42" s="108">
        <f>IF('Closed-won data Input'!G7="",0,'Closed-won data Input'!G7)</f>
        <v>25000</v>
      </c>
      <c r="I42" s="107">
        <f>IF(OR('Closed-won data Input'!H7="",ISBLANK('Closed-won data Input'!H7)),0,'Closed-won data Input'!H7)</f>
        <v>30000</v>
      </c>
      <c r="J42" s="43" t="str">
        <f>IF('Closed-won data Input'!J7="","",'Closed-won data Input'!J7)</f>
        <v>Closed Won</v>
      </c>
      <c r="K42" s="105">
        <f>IF('Closed-won data Input'!I7="","",'Closed-won data Input'!I7)</f>
        <v>46082</v>
      </c>
      <c r="L42" s="43" t="s">
        <v>216</v>
      </c>
      <c r="M42" s="102" t="s">
        <v>325</v>
      </c>
    </row>
    <row r="43" spans="1:13" ht="15" customHeight="1">
      <c r="A43" s="101">
        <v>41</v>
      </c>
      <c r="B43" s="102" t="str">
        <f>IF('Closed-won data Input'!B8="","",'Closed-won data Input'!B8)</f>
        <v>Jubail 1</v>
      </c>
      <c r="C43" s="102" t="str">
        <f>IF('Closed-won data Input'!C8="","",'Closed-won data Input'!C8&amp;" (Closed Won)")</f>
        <v>Maaden (Closed Won)</v>
      </c>
      <c r="D43" s="102" t="str">
        <f>IF('Closed-won data Input'!C8="","",'Closed-won data Input'!C8)</f>
        <v>Maaden</v>
      </c>
      <c r="E43" s="102" t="str">
        <f>IF('Closed-won data Input'!D8="","",'Closed-won data Input'!D8)</f>
        <v>Yazan  Darwish</v>
      </c>
      <c r="F43" s="106">
        <f>IF('Closed-won data Input'!E8="",0,'Closed-won data Input'!E8)</f>
        <v>1200</v>
      </c>
      <c r="G43" s="106">
        <f>IF('Closed-won data Input'!F8="",0,'Closed-won data Input'!F8)</f>
        <v>0</v>
      </c>
      <c r="H43" s="108">
        <f>IF('Closed-won data Input'!G8="",0,'Closed-won data Input'!G8)</f>
        <v>880000</v>
      </c>
      <c r="I43" s="107">
        <f>IF(OR('Closed-won data Input'!H8="",ISBLANK('Closed-won data Input'!H8)),0,'Closed-won data Input'!H8)</f>
        <v>960000</v>
      </c>
      <c r="J43" s="43" t="str">
        <f>IF('Closed-won data Input'!J8="","",'Closed-won data Input'!J8)</f>
        <v>Closed Won</v>
      </c>
      <c r="K43" s="105">
        <f>IF('Closed-won data Input'!I8="","",'Closed-won data Input'!I8)</f>
        <v>46054</v>
      </c>
      <c r="L43" s="43" t="s">
        <v>216</v>
      </c>
      <c r="M43" s="102" t="s">
        <v>326</v>
      </c>
    </row>
    <row r="44" spans="1:13" ht="15" customHeight="1">
      <c r="A44" s="101">
        <v>42</v>
      </c>
      <c r="B44" s="102" t="str">
        <f>IF('Closed-won data Input'!B9="","",'Closed-won data Input'!B9)</f>
        <v>JED Modon 3B</v>
      </c>
      <c r="C44" s="102" t="str">
        <f>IF('Closed-won data Input'!C9="","",'Closed-won data Input'!C9&amp;" (Closed Won)")</f>
        <v>Al Nahdi (Closed Won)</v>
      </c>
      <c r="D44" s="102" t="str">
        <f>IF('Closed-won data Input'!C9="","",'Closed-won data Input'!C9)</f>
        <v>Al Nahdi</v>
      </c>
      <c r="E44" s="102" t="str">
        <f>IF('Closed-won data Input'!D9="","",'Closed-won data Input'!D9)</f>
        <v>Simon Reah</v>
      </c>
      <c r="F44" s="106">
        <f>IF('Closed-won data Input'!E9="",0,'Closed-won data Input'!E9)</f>
        <v>4000</v>
      </c>
      <c r="G44" s="106">
        <f>IF('Closed-won data Input'!F9="",0,'Closed-won data Input'!F9)</f>
        <v>0</v>
      </c>
      <c r="H44" s="108">
        <f>IF('Closed-won data Input'!G9="",0,'Closed-won data Input'!G9)</f>
        <v>756000</v>
      </c>
      <c r="I44" s="107">
        <f>IF(OR('Closed-won data Input'!H9="",ISBLANK('Closed-won data Input'!H9)),0,'Closed-won data Input'!H9)</f>
        <v>756000</v>
      </c>
      <c r="J44" s="43" t="str">
        <f>IF('Closed-won data Input'!J9="","",'Closed-won data Input'!J9)</f>
        <v>Closed Won</v>
      </c>
      <c r="K44" s="105">
        <f>IF('Closed-won data Input'!I9="","",'Closed-won data Input'!I9)</f>
        <v>46113</v>
      </c>
      <c r="L44" s="43" t="s">
        <v>261</v>
      </c>
      <c r="M44" s="102" t="s">
        <v>327</v>
      </c>
    </row>
    <row r="45" spans="1:13" ht="15" customHeight="1">
      <c r="A45" s="101">
        <v>43</v>
      </c>
      <c r="B45" s="102" t="str">
        <f>IF('Closed-won data Input'!B10="","",'Closed-won data Input'!B10)</f>
        <v>JED Modon 3B</v>
      </c>
      <c r="C45" s="102" t="str">
        <f>IF('Closed-won data Input'!C10="","",'Closed-won data Input'!C10&amp;" (Closed Won)")</f>
        <v>Sharbatly Fruit Company (Closed Won)</v>
      </c>
      <c r="D45" s="102" t="str">
        <f>IF('Closed-won data Input'!C10="","",'Closed-won data Input'!C10)</f>
        <v>Sharbatly Fruit Company</v>
      </c>
      <c r="E45" s="102" t="str">
        <f>IF('Closed-won data Input'!D10="","",'Closed-won data Input'!D10)</f>
        <v>Simon Reah</v>
      </c>
      <c r="F45" s="106">
        <f>IF('Closed-won data Input'!E10="",0,'Closed-won data Input'!E10)</f>
        <v>1500</v>
      </c>
      <c r="G45" s="106">
        <f>IF('Closed-won data Input'!F10="",0,'Closed-won data Input'!F10)</f>
        <v>0</v>
      </c>
      <c r="H45" s="108">
        <f>IF('Closed-won data Input'!G10="",0,'Closed-won data Input'!G10)</f>
        <v>513000</v>
      </c>
      <c r="I45" s="107">
        <f>IF(OR('Closed-won data Input'!H10="",ISBLANK('Closed-won data Input'!H10)),0,'Closed-won data Input'!H10)</f>
        <v>684000</v>
      </c>
      <c r="J45" s="43" t="str">
        <f>IF('Closed-won data Input'!J10="","",'Closed-won data Input'!J10)</f>
        <v>Closed Won</v>
      </c>
      <c r="K45" s="105">
        <f>IF('Closed-won data Input'!I10="","",'Closed-won data Input'!I10)</f>
        <v>46127</v>
      </c>
      <c r="L45" s="43" t="s">
        <v>261</v>
      </c>
      <c r="M45" s="102" t="s">
        <v>328</v>
      </c>
    </row>
    <row r="46" spans="1:13" ht="15" customHeight="1">
      <c r="A46" s="101">
        <v>44</v>
      </c>
      <c r="B46" s="102" t="str">
        <f>IF('Closed-won data Input'!B11="","",'Closed-won data Input'!B11)</f>
        <v>Subcontractor</v>
      </c>
      <c r="C46" s="102" t="str">
        <f>IF('Closed-won data Input'!C11="","",'Closed-won data Input'!C11&amp;" (Closed Won)")</f>
        <v>PSA-BDP (Closed Won)</v>
      </c>
      <c r="D46" s="102" t="str">
        <f>IF('Closed-won data Input'!C11="","",'Closed-won data Input'!C11)</f>
        <v>PSA-BDP</v>
      </c>
      <c r="E46" s="102" t="str">
        <f>IF('Closed-won data Input'!D11="","",'Closed-won data Input'!D11)</f>
        <v>Amin AlHalabi</v>
      </c>
      <c r="F46" s="106">
        <f>IF('Closed-won data Input'!E11="",0,'Closed-won data Input'!E11)</f>
        <v>2500</v>
      </c>
      <c r="G46" s="106">
        <f>IF('Closed-won data Input'!F11="",0,'Closed-won data Input'!F11)</f>
        <v>0</v>
      </c>
      <c r="H46" s="108">
        <f>IF('Closed-won data Input'!G11="",0,'Closed-won data Input'!G11)</f>
        <v>1650000</v>
      </c>
      <c r="I46" s="110">
        <f>IF(OR('Closed-won data Input'!H11="",ISBLANK('Closed-won data Input'!H11)),0,'Closed-won data Input'!H11)</f>
        <v>1800000</v>
      </c>
      <c r="J46" s="43" t="str">
        <f>IF('Closed-won data Input'!J11="","",'Closed-won data Input'!J11)</f>
        <v>Closed Won</v>
      </c>
      <c r="K46" s="111">
        <f>IF('Closed-won data Input'!I11="","",'Closed-won data Input'!I11)</f>
        <v>46067</v>
      </c>
      <c r="L46" s="43" t="s">
        <v>299</v>
      </c>
      <c r="M46" s="102" t="s">
        <v>329</v>
      </c>
    </row>
    <row r="47" spans="1:13" ht="15" customHeight="1">
      <c r="A47" s="101">
        <v>45</v>
      </c>
      <c r="B47" s="102" t="str">
        <f>IF('Closed-won data Input'!B12="","",'Closed-won data Input'!B12)</f>
        <v>Contract Logistics</v>
      </c>
      <c r="C47" s="102" t="str">
        <f>IF('Closed-won data Input'!C12="","",'Closed-won data Input'!C12&amp;" (Closed Won)")</f>
        <v>Tasnee (Closed Won)</v>
      </c>
      <c r="D47" s="102" t="str">
        <f>IF('Closed-won data Input'!C12="","",'Closed-won data Input'!C12)</f>
        <v>Tasnee</v>
      </c>
      <c r="E47" s="102" t="str">
        <f>IF('Closed-won data Input'!D12="","",'Closed-won data Input'!D12)</f>
        <v>Yazan  Darwish</v>
      </c>
      <c r="F47" s="106">
        <f>IF('Closed-won data Input'!E12="",0,'Closed-won data Input'!E12)</f>
        <v>0</v>
      </c>
      <c r="G47" s="106">
        <f>IF('Closed-won data Input'!F12="",0,'Closed-won data Input'!F12)</f>
        <v>0</v>
      </c>
      <c r="H47" s="108">
        <f>IF('Closed-won data Input'!G12="",0,'Closed-won data Input'!G12)</f>
        <v>1450000</v>
      </c>
      <c r="I47" s="107">
        <f>IF(OR('Closed-won data Input'!H12="",ISBLANK('Closed-won data Input'!H12)),0,'Closed-won data Input'!H12)</f>
        <v>725000</v>
      </c>
      <c r="J47" s="43" t="str">
        <f>IF('Closed-won data Input'!J12="","",'Closed-won data Input'!J12)</f>
        <v>Closed Won</v>
      </c>
      <c r="K47" s="105">
        <f>IF('Closed-won data Input'!I12="","",'Closed-won data Input'!I12)</f>
        <v>46143</v>
      </c>
      <c r="L47" s="43" t="s">
        <v>216</v>
      </c>
      <c r="M47" s="102" t="s">
        <v>330</v>
      </c>
    </row>
    <row r="48" spans="1:13" ht="15" customHeight="1">
      <c r="A48" s="101">
        <v>46</v>
      </c>
      <c r="B48" s="102"/>
      <c r="C48" s="102"/>
      <c r="D48" s="102"/>
      <c r="E48" s="102"/>
      <c r="F48" s="109"/>
      <c r="G48" s="109"/>
      <c r="H48" s="102"/>
      <c r="I48" s="109"/>
      <c r="J48" s="43"/>
      <c r="K48" s="43"/>
      <c r="L48" s="43"/>
      <c r="M48" s="102"/>
    </row>
    <row r="49" spans="1:13" ht="15" customHeight="1">
      <c r="A49" s="101">
        <v>47</v>
      </c>
      <c r="B49" s="102"/>
      <c r="C49" s="102"/>
      <c r="D49" s="102"/>
      <c r="E49" s="102"/>
      <c r="F49" s="102"/>
      <c r="G49" s="102"/>
      <c r="H49" s="102"/>
      <c r="I49" s="109"/>
      <c r="J49" s="43"/>
      <c r="K49" s="43"/>
      <c r="L49" s="43"/>
      <c r="M49" s="102"/>
    </row>
    <row r="50" spans="1:13" ht="15" customHeight="1">
      <c r="A50" s="101">
        <v>48</v>
      </c>
      <c r="B50" s="102"/>
      <c r="C50" s="102"/>
      <c r="D50" s="102"/>
      <c r="E50" s="102"/>
      <c r="F50" s="102"/>
      <c r="G50" s="102"/>
      <c r="H50" s="102"/>
      <c r="I50" s="109"/>
      <c r="J50" s="43"/>
      <c r="K50" s="43"/>
      <c r="L50" s="43"/>
      <c r="M50" s="102"/>
    </row>
    <row r="51" spans="1:13" ht="15" customHeight="1">
      <c r="A51" s="101">
        <v>49</v>
      </c>
      <c r="B51" s="102"/>
      <c r="C51" s="102"/>
      <c r="D51" s="102"/>
      <c r="E51" s="102"/>
      <c r="F51" s="102"/>
      <c r="G51" s="102"/>
      <c r="H51" s="102"/>
      <c r="I51" s="109"/>
      <c r="J51" s="43"/>
      <c r="K51" s="43"/>
      <c r="L51" s="43"/>
      <c r="M51" s="102"/>
    </row>
    <row r="52" spans="1:13" ht="15" customHeight="1">
      <c r="A52" s="101">
        <v>50</v>
      </c>
      <c r="B52" s="102"/>
      <c r="C52" s="102"/>
      <c r="D52" s="102"/>
      <c r="E52" s="102"/>
      <c r="F52" s="102"/>
      <c r="G52" s="102"/>
      <c r="H52" s="102"/>
      <c r="I52" s="102"/>
      <c r="J52" s="43"/>
      <c r="K52" s="43"/>
      <c r="L52" s="43"/>
      <c r="M52" s="102"/>
    </row>
    <row r="53" spans="1:13" ht="15" customHeight="1">
      <c r="A53" s="101">
        <v>51</v>
      </c>
      <c r="B53" s="102"/>
      <c r="C53" s="102"/>
      <c r="D53" s="102"/>
      <c r="E53" s="102"/>
      <c r="F53" s="102"/>
      <c r="G53" s="102"/>
      <c r="H53" s="102"/>
      <c r="I53" s="102"/>
      <c r="J53" s="43"/>
      <c r="K53" s="43"/>
      <c r="L53" s="43"/>
      <c r="M53" s="102"/>
    </row>
    <row r="54" spans="1:13" ht="15" customHeight="1">
      <c r="A54" s="101">
        <v>52</v>
      </c>
      <c r="B54" s="102"/>
      <c r="C54" s="102"/>
      <c r="D54" s="102"/>
      <c r="E54" s="102"/>
      <c r="F54" s="102"/>
      <c r="G54" s="102"/>
      <c r="H54" s="102"/>
      <c r="I54" s="102"/>
      <c r="J54" s="43"/>
      <c r="K54" s="43"/>
      <c r="L54" s="43"/>
      <c r="M54" s="102"/>
    </row>
    <row r="55" spans="1:13" ht="15" customHeight="1">
      <c r="A55" s="101">
        <v>53</v>
      </c>
      <c r="B55" s="102"/>
      <c r="C55" s="102"/>
      <c r="D55" s="102"/>
      <c r="E55" s="102"/>
      <c r="F55" s="102"/>
      <c r="G55" s="102"/>
      <c r="H55" s="102"/>
      <c r="I55" s="102"/>
      <c r="J55" s="43"/>
      <c r="K55" s="43"/>
      <c r="L55" s="43"/>
      <c r="M55" s="102"/>
    </row>
    <row r="56" spans="1:13" ht="15" customHeight="1">
      <c r="A56" s="101">
        <v>54</v>
      </c>
      <c r="B56" s="102"/>
      <c r="C56" s="102"/>
      <c r="D56" s="102"/>
      <c r="E56" s="102"/>
      <c r="F56" s="102"/>
      <c r="G56" s="102"/>
      <c r="H56" s="102"/>
      <c r="I56" s="102"/>
      <c r="J56" s="43"/>
      <c r="K56" s="43"/>
      <c r="L56" s="43"/>
      <c r="M56" s="102"/>
    </row>
    <row r="57" spans="1:13" ht="15" customHeight="1">
      <c r="A57" s="101">
        <v>55</v>
      </c>
      <c r="B57" s="102"/>
      <c r="C57" s="102"/>
      <c r="D57" s="102"/>
      <c r="E57" s="102"/>
      <c r="F57" s="102"/>
      <c r="G57" s="102"/>
      <c r="H57" s="102"/>
      <c r="I57" s="102"/>
      <c r="J57" s="43"/>
      <c r="K57" s="43"/>
      <c r="L57" s="43"/>
      <c r="M57" s="102"/>
    </row>
    <row r="58" spans="1:13" ht="15" customHeight="1">
      <c r="A58" s="101">
        <v>56</v>
      </c>
      <c r="B58" s="102"/>
      <c r="C58" s="102"/>
      <c r="D58" s="102"/>
      <c r="E58" s="102"/>
      <c r="F58" s="102"/>
      <c r="G58" s="102"/>
      <c r="H58" s="102"/>
      <c r="I58" s="102"/>
      <c r="J58" s="43"/>
      <c r="K58" s="43"/>
      <c r="L58" s="43"/>
      <c r="M58" s="102"/>
    </row>
    <row r="59" spans="1:13" ht="15" customHeight="1">
      <c r="A59" s="101">
        <v>57</v>
      </c>
      <c r="B59" s="102"/>
      <c r="C59" s="102"/>
      <c r="D59" s="102"/>
      <c r="E59" s="102"/>
      <c r="F59" s="102"/>
      <c r="G59" s="102"/>
      <c r="H59" s="102"/>
      <c r="I59" s="102"/>
      <c r="J59" s="43"/>
      <c r="K59" s="43"/>
      <c r="L59" s="43"/>
      <c r="M59" s="102"/>
    </row>
    <row r="60" spans="1:13" ht="15" customHeight="1">
      <c r="A60" s="101">
        <v>58</v>
      </c>
      <c r="B60" s="102"/>
      <c r="C60" s="102"/>
      <c r="D60" s="102"/>
      <c r="E60" s="102"/>
      <c r="F60" s="102"/>
      <c r="G60" s="102"/>
      <c r="H60" s="102"/>
      <c r="I60" s="102"/>
      <c r="J60" s="43"/>
      <c r="K60" s="43"/>
      <c r="L60" s="43"/>
      <c r="M60" s="102"/>
    </row>
    <row r="61" spans="1:13" ht="15" customHeight="1">
      <c r="A61" s="101">
        <v>59</v>
      </c>
      <c r="B61" s="102"/>
      <c r="C61" s="102"/>
      <c r="D61" s="102"/>
      <c r="E61" s="102"/>
      <c r="F61" s="102"/>
      <c r="G61" s="102"/>
      <c r="H61" s="102"/>
      <c r="I61" s="102"/>
      <c r="J61" s="43"/>
      <c r="K61" s="43"/>
      <c r="L61" s="43"/>
      <c r="M61" s="102"/>
    </row>
    <row r="62" spans="1:13" ht="15" customHeight="1">
      <c r="A62" s="101">
        <v>60</v>
      </c>
      <c r="B62" s="102"/>
      <c r="C62" s="102"/>
      <c r="D62" s="102"/>
      <c r="E62" s="102"/>
      <c r="F62" s="102"/>
      <c r="G62" s="102"/>
      <c r="H62" s="102"/>
      <c r="I62" s="102"/>
      <c r="J62" s="43"/>
      <c r="K62" s="43"/>
      <c r="L62" s="43"/>
      <c r="M62" s="102"/>
    </row>
    <row r="63" spans="1:13" ht="15" customHeight="1">
      <c r="A63" s="102"/>
      <c r="B63" s="102"/>
    </row>
    <row r="64" spans="1:13" ht="15" customHeight="1">
      <c r="A64" s="478" t="s">
        <v>331</v>
      </c>
      <c r="B64" s="478"/>
      <c r="C64" s="478"/>
      <c r="D64" s="478"/>
    </row>
    <row r="65" spans="1:2" ht="15" customHeight="1">
      <c r="A65" s="112" t="s">
        <v>332</v>
      </c>
      <c r="B65" s="112" t="s">
        <v>333</v>
      </c>
    </row>
    <row r="66" spans="1:2" ht="15" customHeight="1">
      <c r="A66" s="102" t="s">
        <v>212</v>
      </c>
      <c r="B66" s="102" t="s">
        <v>165</v>
      </c>
    </row>
    <row r="67" spans="1:2" ht="15" customHeight="1">
      <c r="A67" s="102" t="s">
        <v>38</v>
      </c>
      <c r="B67" s="102" t="s">
        <v>38</v>
      </c>
    </row>
    <row r="68" spans="1:2" ht="15" customHeight="1">
      <c r="A68" s="102" t="s">
        <v>39</v>
      </c>
      <c r="B68" s="102" t="s">
        <v>39</v>
      </c>
    </row>
    <row r="69" spans="1:2" ht="15" customHeight="1">
      <c r="A69" s="102" t="s">
        <v>263</v>
      </c>
      <c r="B69" s="102" t="s">
        <v>41</v>
      </c>
    </row>
    <row r="70" spans="1:2" ht="15" customHeight="1">
      <c r="A70" s="102" t="s">
        <v>285</v>
      </c>
      <c r="B70" s="102" t="s">
        <v>42</v>
      </c>
    </row>
    <row r="71" spans="1:2" ht="15" customHeight="1">
      <c r="A71" s="102" t="s">
        <v>43</v>
      </c>
      <c r="B71" s="102" t="s">
        <v>43</v>
      </c>
    </row>
    <row r="72" spans="1:2" ht="15" customHeight="1">
      <c r="A72" s="102" t="s">
        <v>44</v>
      </c>
      <c r="B72" s="102" t="s">
        <v>44</v>
      </c>
    </row>
    <row r="73" spans="1:2" ht="15" customHeight="1">
      <c r="A73" s="102" t="s">
        <v>45</v>
      </c>
      <c r="B73" s="102" t="s">
        <v>45</v>
      </c>
    </row>
    <row r="74" spans="1:2" ht="15" customHeight="1">
      <c r="A74" s="102" t="s">
        <v>334</v>
      </c>
      <c r="B74" s="102" t="s">
        <v>36</v>
      </c>
    </row>
  </sheetData>
  <autoFilter ref="A2:M62" xr:uid="{00000000-0009-0000-0000-000002000000}"/>
  <mergeCells count="2">
    <mergeCell ref="A1:M1"/>
    <mergeCell ref="A64:D64"/>
  </mergeCells>
  <dataValidations count="3">
    <dataValidation type="list" allowBlank="1" showInputMessage="1" showErrorMessage="1" errorTitle="Invalid Warehouse" error="Warehouse not in the mapping table. Add it to A56:A63 first (Raw Name + Mapped Name), then pick it from the dropdown." promptTitle="Warehouse (raw CRM name)" prompt="Pick from the dropdown. To add a new warehouse, update the mapping table at A56:A63." sqref="B3:B52" xr:uid="{00000000-0002-0000-0200-000000000000}">
      <formula1>$A$56:$A$63</formula1>
      <formula2>0</formula2>
    </dataValidation>
    <dataValidation type="list" allowBlank="1" showInputMessage="1" showErrorMessage="1" errorTitle="Invalid Owner" error="Pick an owner from the dropdown." promptTitle="Deal Owner" prompt="Pick from the list." sqref="E3:E52" xr:uid="{00000000-0002-0000-0200-000001000000}">
      <formula1>"Yazan Darwish,Simon Reah,Amin AlHalabi,Hano Oberholzer"</formula1>
      <formula2>0</formula2>
    </dataValidation>
    <dataValidation type="list" allowBlank="1" showInputMessage="1" showErrorMessage="1" errorTitle="Invalid Region" error="Pick East, West, or Central." promptTitle="Region" prompt="Pick from the list." sqref="L3:L52" xr:uid="{00000000-0002-0000-0200-000002000000}">
      <formula1>"East,West,Central"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K3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7" sqref="G17"/>
    </sheetView>
  </sheetViews>
  <sheetFormatPr defaultColWidth="8.7109375" defaultRowHeight="15"/>
  <cols>
    <col min="1" max="1" width="28" customWidth="1"/>
    <col min="2" max="2" width="24.7109375" customWidth="1"/>
    <col min="3" max="9" width="17.140625" customWidth="1"/>
    <col min="10" max="11" width="16" customWidth="1"/>
  </cols>
  <sheetData>
    <row r="1" spans="1:11" ht="60" customHeight="1">
      <c r="A1" s="481" t="s">
        <v>335</v>
      </c>
      <c r="B1" s="481"/>
      <c r="C1" s="481"/>
      <c r="D1" s="481"/>
      <c r="E1" s="481"/>
      <c r="F1" s="481"/>
      <c r="G1" s="481"/>
      <c r="H1" s="481"/>
      <c r="I1" s="481"/>
      <c r="J1" s="481"/>
    </row>
    <row r="2" spans="1:11" ht="34.5" customHeight="1">
      <c r="A2" s="113" t="s">
        <v>336</v>
      </c>
      <c r="B2" s="113" t="s">
        <v>211</v>
      </c>
      <c r="C2" s="113" t="s">
        <v>154</v>
      </c>
      <c r="D2" s="113" t="s">
        <v>155</v>
      </c>
      <c r="E2" s="113" t="s">
        <v>156</v>
      </c>
      <c r="F2" s="113" t="s">
        <v>35</v>
      </c>
      <c r="G2" s="113" t="s">
        <v>157</v>
      </c>
      <c r="H2" s="113" t="s">
        <v>158</v>
      </c>
      <c r="I2" s="113" t="s">
        <v>159</v>
      </c>
      <c r="J2" s="113" t="s">
        <v>160</v>
      </c>
      <c r="K2" s="113" t="s">
        <v>337</v>
      </c>
    </row>
    <row r="3" spans="1:11" ht="30" customHeight="1">
      <c r="A3" s="114" t="s">
        <v>338</v>
      </c>
      <c r="B3" s="114"/>
      <c r="C3" s="114" t="s">
        <v>339</v>
      </c>
      <c r="D3" s="114" t="s">
        <v>340</v>
      </c>
      <c r="E3" s="114" t="s">
        <v>341</v>
      </c>
      <c r="F3" s="114"/>
      <c r="G3" s="115" t="s">
        <v>342</v>
      </c>
      <c r="H3" s="114" t="s">
        <v>343</v>
      </c>
      <c r="I3" s="114"/>
      <c r="J3" s="114"/>
      <c r="K3" s="114" t="s">
        <v>344</v>
      </c>
    </row>
    <row r="4" spans="1:11" ht="15" customHeight="1">
      <c r="A4" s="116" t="s">
        <v>36</v>
      </c>
      <c r="B4" s="116" t="s">
        <v>345</v>
      </c>
      <c r="C4" s="117">
        <v>28694</v>
      </c>
      <c r="D4" s="117">
        <v>34755</v>
      </c>
      <c r="E4" s="117">
        <v>29782</v>
      </c>
      <c r="F4" s="118">
        <f t="shared" ref="F4:F14" si="0">IFERROR(E4/D4,0)</f>
        <v>0.85691267443533303</v>
      </c>
      <c r="G4" s="119">
        <v>4973</v>
      </c>
      <c r="H4" s="117">
        <v>23400</v>
      </c>
      <c r="I4" s="117"/>
      <c r="J4" s="117"/>
      <c r="K4" s="117">
        <v>6156</v>
      </c>
    </row>
    <row r="5" spans="1:11" ht="15" customHeight="1">
      <c r="A5" s="116" t="s">
        <v>165</v>
      </c>
      <c r="B5" s="116" t="s">
        <v>345</v>
      </c>
      <c r="C5" s="117">
        <v>16153</v>
      </c>
      <c r="D5" s="117">
        <v>18654</v>
      </c>
      <c r="E5" s="117">
        <v>8607</v>
      </c>
      <c r="F5" s="118">
        <f t="shared" si="0"/>
        <v>0.46140238018655516</v>
      </c>
      <c r="G5" s="119">
        <v>10047</v>
      </c>
      <c r="H5" s="117"/>
      <c r="I5" s="117">
        <v>3619</v>
      </c>
      <c r="J5" s="117"/>
      <c r="K5" s="117">
        <v>0</v>
      </c>
    </row>
    <row r="6" spans="1:11" ht="15" customHeight="1">
      <c r="A6" s="116" t="s">
        <v>38</v>
      </c>
      <c r="B6" s="116" t="s">
        <v>346</v>
      </c>
      <c r="C6" s="117">
        <f>B25</f>
        <v>31172</v>
      </c>
      <c r="D6" s="117">
        <f>C25</f>
        <v>35542</v>
      </c>
      <c r="E6" s="117">
        <f>D25</f>
        <v>11836</v>
      </c>
      <c r="F6" s="118">
        <f t="shared" si="0"/>
        <v>0.33301446176354738</v>
      </c>
      <c r="G6" s="119">
        <f>F25</f>
        <v>23706</v>
      </c>
      <c r="H6" s="117">
        <f>G25</f>
        <v>13157</v>
      </c>
      <c r="I6" s="117">
        <v>146</v>
      </c>
      <c r="J6" s="117">
        <v>144</v>
      </c>
      <c r="K6" s="120">
        <f>H25</f>
        <v>10498</v>
      </c>
    </row>
    <row r="7" spans="1:11" ht="15" customHeight="1">
      <c r="A7" s="116" t="s">
        <v>39</v>
      </c>
      <c r="B7" s="116" t="s">
        <v>346</v>
      </c>
      <c r="C7" s="117">
        <f>B29</f>
        <v>8152</v>
      </c>
      <c r="D7" s="117">
        <f>C29</f>
        <v>29258</v>
      </c>
      <c r="E7" s="117">
        <f>D29</f>
        <v>10011</v>
      </c>
      <c r="F7" s="118">
        <f t="shared" si="0"/>
        <v>0.34216282726092007</v>
      </c>
      <c r="G7" s="119">
        <f>F29</f>
        <v>19247</v>
      </c>
      <c r="H7" s="117">
        <f>G29</f>
        <v>0</v>
      </c>
      <c r="I7" s="117"/>
      <c r="J7" s="117"/>
      <c r="K7" s="120">
        <f>H29</f>
        <v>0</v>
      </c>
    </row>
    <row r="8" spans="1:11" ht="15" customHeight="1">
      <c r="A8" s="425" t="s">
        <v>40</v>
      </c>
      <c r="B8" s="425" t="s">
        <v>346</v>
      </c>
      <c r="C8" s="426">
        <f>C6+C7</f>
        <v>39324</v>
      </c>
      <c r="D8" s="426">
        <f>D6+D7</f>
        <v>64800</v>
      </c>
      <c r="E8" s="426">
        <f>E6+E7</f>
        <v>21847</v>
      </c>
      <c r="F8" s="427">
        <f t="shared" si="0"/>
        <v>0.33714506172839503</v>
      </c>
      <c r="G8" s="428">
        <f>G6+G7</f>
        <v>42953</v>
      </c>
      <c r="H8" s="426">
        <f>H6+H7</f>
        <v>13157</v>
      </c>
      <c r="I8" s="426">
        <f>I6+I7</f>
        <v>146</v>
      </c>
      <c r="J8" s="426">
        <f>J6+J7</f>
        <v>144</v>
      </c>
      <c r="K8" s="426">
        <f>K6+K7</f>
        <v>10498</v>
      </c>
    </row>
    <row r="9" spans="1:11" ht="15" customHeight="1">
      <c r="A9" s="116" t="s">
        <v>41</v>
      </c>
      <c r="B9" s="116" t="s">
        <v>347</v>
      </c>
      <c r="C9" s="117">
        <v>36212</v>
      </c>
      <c r="D9" s="117">
        <v>36840</v>
      </c>
      <c r="E9" s="117">
        <v>17127</v>
      </c>
      <c r="F9" s="118">
        <f t="shared" si="0"/>
        <v>0.46490228013029317</v>
      </c>
      <c r="G9" s="119">
        <v>19713</v>
      </c>
      <c r="H9" s="117">
        <v>300</v>
      </c>
      <c r="I9" s="117">
        <v>9038</v>
      </c>
      <c r="J9" s="117">
        <v>134</v>
      </c>
      <c r="K9" s="117">
        <v>70</v>
      </c>
    </row>
    <row r="10" spans="1:11" ht="15" customHeight="1">
      <c r="A10" s="116" t="s">
        <v>42</v>
      </c>
      <c r="B10" s="116" t="s">
        <v>347</v>
      </c>
      <c r="C10" s="117">
        <v>12177</v>
      </c>
      <c r="D10" s="117">
        <v>14189</v>
      </c>
      <c r="E10" s="117">
        <v>13503</v>
      </c>
      <c r="F10" s="118">
        <f t="shared" si="0"/>
        <v>0.95165268870251607</v>
      </c>
      <c r="G10" s="119">
        <v>686</v>
      </c>
      <c r="H10" s="117">
        <v>2600</v>
      </c>
      <c r="I10" s="117">
        <v>3734</v>
      </c>
      <c r="J10" s="117"/>
      <c r="K10" s="117">
        <v>752</v>
      </c>
    </row>
    <row r="11" spans="1:11" ht="15" customHeight="1">
      <c r="A11" s="116" t="s">
        <v>43</v>
      </c>
      <c r="B11" s="116" t="s">
        <v>348</v>
      </c>
      <c r="C11" s="117"/>
      <c r="D11" s="117">
        <v>11132</v>
      </c>
      <c r="E11" s="117">
        <v>8134</v>
      </c>
      <c r="F11" s="118">
        <f t="shared" si="0"/>
        <v>0.73068630973769311</v>
      </c>
      <c r="G11" s="119">
        <v>2998</v>
      </c>
      <c r="H11" s="117">
        <v>317</v>
      </c>
      <c r="I11" s="117"/>
      <c r="J11" s="117"/>
      <c r="K11" s="117">
        <v>77</v>
      </c>
    </row>
    <row r="12" spans="1:11" ht="15" customHeight="1">
      <c r="A12" s="116" t="s">
        <v>44</v>
      </c>
      <c r="B12" s="116" t="s">
        <v>349</v>
      </c>
      <c r="C12" s="117"/>
      <c r="D12" s="117"/>
      <c r="E12" s="117"/>
      <c r="F12" s="118">
        <f t="shared" si="0"/>
        <v>0</v>
      </c>
      <c r="G12" s="119">
        <f>D20</f>
        <v>7500</v>
      </c>
      <c r="H12" s="117"/>
      <c r="I12" s="117"/>
      <c r="J12" s="117"/>
    </row>
    <row r="13" spans="1:11" ht="15" customHeight="1">
      <c r="A13" s="116" t="s">
        <v>45</v>
      </c>
      <c r="B13" s="116"/>
      <c r="C13" s="117"/>
      <c r="D13" s="117"/>
      <c r="E13" s="117"/>
      <c r="F13" s="118">
        <f t="shared" si="0"/>
        <v>0</v>
      </c>
      <c r="G13" s="119"/>
      <c r="H13" s="117"/>
      <c r="I13" s="117"/>
      <c r="J13" s="117"/>
    </row>
    <row r="14" spans="1:11" ht="22.5" customHeight="1">
      <c r="A14" s="121" t="s">
        <v>350</v>
      </c>
      <c r="B14" s="121"/>
      <c r="C14" s="122">
        <f>SUM(C4:C13)-IF((C6+C7)&lt;&gt;0,C8,0)</f>
        <v>132560</v>
      </c>
      <c r="D14" s="122">
        <f>SUM(D4:D13)-IF((D6+D7)&lt;&gt;0,D8,0)</f>
        <v>180370</v>
      </c>
      <c r="E14" s="122">
        <f>SUM(E4:E13)-IF((E6+E7)&lt;&gt;0,E8,0)</f>
        <v>99000</v>
      </c>
      <c r="F14" s="123">
        <f t="shared" si="0"/>
        <v>0.54887176359705048</v>
      </c>
      <c r="G14" s="122">
        <f>SUM(G4:G13)-IF((G6+G7)&lt;&gt;0,G8,0)</f>
        <v>88870</v>
      </c>
      <c r="H14" s="122">
        <f>SUM(H4:H13)-IF((H6+H7)&lt;&gt;0,H8,0)</f>
        <v>39774</v>
      </c>
      <c r="I14" s="122">
        <f>SUM(I4:I13)-IF((I6+I7)&lt;&gt;0,I8,0)</f>
        <v>16537</v>
      </c>
      <c r="J14" s="122">
        <f>SUM(J4:J13)-IF((J6+J7)&lt;&gt;0,J8,0)</f>
        <v>278</v>
      </c>
      <c r="K14" s="122">
        <f>SUM(K4:K13)-IF((K6+K7)&lt;&gt;0,K8,0)</f>
        <v>17553</v>
      </c>
    </row>
    <row r="17" spans="1:8" ht="15" customHeight="1">
      <c r="A17" s="124" t="s">
        <v>44</v>
      </c>
      <c r="B17" s="124" t="s">
        <v>310</v>
      </c>
      <c r="C17" s="124" t="s">
        <v>311</v>
      </c>
      <c r="D17" s="124">
        <v>2500</v>
      </c>
    </row>
    <row r="18" spans="1:8" ht="15" customHeight="1">
      <c r="A18" s="124" t="s">
        <v>44</v>
      </c>
      <c r="B18" s="124" t="s">
        <v>313</v>
      </c>
      <c r="C18" s="124" t="s">
        <v>269</v>
      </c>
      <c r="D18" s="124">
        <v>2500</v>
      </c>
    </row>
    <row r="19" spans="1:8" ht="15" customHeight="1">
      <c r="A19" s="124" t="s">
        <v>44</v>
      </c>
      <c r="B19" s="124" t="s">
        <v>351</v>
      </c>
      <c r="C19" s="124" t="s">
        <v>352</v>
      </c>
      <c r="D19" s="124">
        <v>2500</v>
      </c>
    </row>
    <row r="20" spans="1:8" ht="15" customHeight="1">
      <c r="D20" s="125">
        <f>SUM(D17:D19)</f>
        <v>7500</v>
      </c>
    </row>
    <row r="23" spans="1:8" ht="21.75" customHeight="1">
      <c r="A23" s="482" t="s">
        <v>353</v>
      </c>
      <c r="B23" s="482"/>
      <c r="C23" s="482"/>
      <c r="D23" s="482"/>
      <c r="E23" s="482"/>
      <c r="F23" s="482"/>
      <c r="G23" s="482"/>
      <c r="H23" s="482"/>
    </row>
    <row r="24" spans="1:8" ht="21.75" customHeight="1">
      <c r="A24" s="126" t="s">
        <v>354</v>
      </c>
      <c r="B24" s="127" t="s">
        <v>154</v>
      </c>
      <c r="C24" s="127" t="s">
        <v>155</v>
      </c>
      <c r="D24" s="127" t="s">
        <v>355</v>
      </c>
      <c r="E24" s="127" t="s">
        <v>356</v>
      </c>
      <c r="F24" s="127" t="s">
        <v>357</v>
      </c>
      <c r="G24" s="127" t="s">
        <v>358</v>
      </c>
      <c r="H24" s="127" t="s">
        <v>359</v>
      </c>
    </row>
    <row r="25" spans="1:8" ht="15" customHeight="1">
      <c r="A25" s="128" t="s">
        <v>38</v>
      </c>
      <c r="B25" s="129">
        <f>SUM(B26:B28)</f>
        <v>31172</v>
      </c>
      <c r="C25" s="129">
        <f>SUM(C26:C28)</f>
        <v>35542</v>
      </c>
      <c r="D25" s="129">
        <f>SUM(D26:D28)</f>
        <v>11836</v>
      </c>
      <c r="E25" s="130">
        <f t="shared" ref="E25:E30" si="1">IFERROR(D25/C25,0)</f>
        <v>0.33301446176354738</v>
      </c>
      <c r="F25" s="129">
        <f>SUM(F26:F28)</f>
        <v>23706</v>
      </c>
      <c r="G25" s="129">
        <v>13157</v>
      </c>
      <c r="H25" s="129">
        <v>10498</v>
      </c>
    </row>
    <row r="26" spans="1:8" ht="15" customHeight="1">
      <c r="A26" s="131" t="s">
        <v>360</v>
      </c>
      <c r="B26" s="132">
        <v>9261</v>
      </c>
      <c r="C26" s="132">
        <v>10533</v>
      </c>
      <c r="D26" s="132">
        <v>1331</v>
      </c>
      <c r="E26" s="133">
        <f t="shared" si="1"/>
        <v>0.1263647583784297</v>
      </c>
      <c r="F26" s="132">
        <v>9202</v>
      </c>
      <c r="G26" s="132"/>
      <c r="H26" s="132"/>
    </row>
    <row r="27" spans="1:8" ht="15" customHeight="1">
      <c r="A27" s="131" t="s">
        <v>361</v>
      </c>
      <c r="B27" s="132">
        <v>21811</v>
      </c>
      <c r="C27" s="132">
        <v>24884</v>
      </c>
      <c r="D27" s="132">
        <v>10450</v>
      </c>
      <c r="E27" s="133">
        <f t="shared" si="1"/>
        <v>0.41994856132454589</v>
      </c>
      <c r="F27" s="132">
        <v>14434</v>
      </c>
      <c r="G27" s="132"/>
      <c r="H27" s="132"/>
    </row>
    <row r="28" spans="1:8" ht="15" customHeight="1">
      <c r="A28" s="131" t="s">
        <v>362</v>
      </c>
      <c r="B28" s="132">
        <v>100</v>
      </c>
      <c r="C28" s="132">
        <v>125</v>
      </c>
      <c r="D28" s="132">
        <v>55</v>
      </c>
      <c r="E28" s="133">
        <f t="shared" si="1"/>
        <v>0.44</v>
      </c>
      <c r="F28" s="132">
        <v>70</v>
      </c>
      <c r="G28" s="132"/>
      <c r="H28" s="132"/>
    </row>
    <row r="29" spans="1:8" ht="15" customHeight="1">
      <c r="A29" s="128" t="s">
        <v>363</v>
      </c>
      <c r="B29" s="129">
        <v>8152</v>
      </c>
      <c r="C29" s="129">
        <v>29258</v>
      </c>
      <c r="D29" s="129">
        <v>10011</v>
      </c>
      <c r="E29" s="130">
        <f t="shared" si="1"/>
        <v>0.34216282726092007</v>
      </c>
      <c r="F29" s="129">
        <v>19247</v>
      </c>
      <c r="G29" s="129">
        <v>0</v>
      </c>
      <c r="H29" s="129">
        <v>0</v>
      </c>
    </row>
    <row r="30" spans="1:8" ht="15" customHeight="1">
      <c r="A30" s="134" t="s">
        <v>364</v>
      </c>
      <c r="B30" s="135">
        <f>B25+B29</f>
        <v>39324</v>
      </c>
      <c r="C30" s="135">
        <f>C25+C29</f>
        <v>64800</v>
      </c>
      <c r="D30" s="135">
        <f>D25+D29</f>
        <v>21847</v>
      </c>
      <c r="E30" s="136">
        <f t="shared" si="1"/>
        <v>0.33714506172839503</v>
      </c>
      <c r="F30" s="135">
        <f>F25+F29</f>
        <v>42953</v>
      </c>
      <c r="G30" s="135">
        <f>G25+G29</f>
        <v>13157</v>
      </c>
      <c r="H30" s="135">
        <f>H25+H29</f>
        <v>10498</v>
      </c>
    </row>
    <row r="32" spans="1:8" ht="49.5" customHeight="1">
      <c r="A32" s="483" t="s">
        <v>365</v>
      </c>
      <c r="B32" s="483"/>
      <c r="C32" s="483"/>
      <c r="D32" s="483"/>
      <c r="E32" s="483"/>
      <c r="F32" s="483"/>
      <c r="G32" s="483"/>
      <c r="H32" s="483"/>
    </row>
  </sheetData>
  <mergeCells count="3">
    <mergeCell ref="A1:J1"/>
    <mergeCell ref="A23:H23"/>
    <mergeCell ref="A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8B8D"/>
  </sheetPr>
  <dimension ref="A1:AV354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E6" sqref="T6:AE6"/>
    </sheetView>
  </sheetViews>
  <sheetFormatPr defaultColWidth="8.7109375" defaultRowHeight="15"/>
  <cols>
    <col min="1" max="1" width="6.85546875" hidden="1" customWidth="1"/>
    <col min="2" max="2" width="8.85546875" hidden="1" customWidth="1"/>
    <col min="3" max="3" width="3" customWidth="1"/>
    <col min="4" max="4" width="40.28515625" customWidth="1"/>
    <col min="5" max="5" width="0.85546875" customWidth="1"/>
    <col min="6" max="8" width="13.85546875" customWidth="1"/>
    <col min="9" max="9" width="8.140625" customWidth="1"/>
    <col min="18" max="18" width="12" customWidth="1"/>
    <col min="19" max="19" width="1.140625" customWidth="1"/>
    <col min="20" max="20" width="10.5703125" customWidth="1"/>
    <col min="21" max="31" width="11.85546875" customWidth="1"/>
    <col min="32" max="32" width="12.42578125" customWidth="1"/>
    <col min="33" max="33" width="0.85546875" customWidth="1"/>
    <col min="34" max="34" width="10.5703125" customWidth="1"/>
    <col min="35" max="44" width="13" customWidth="1"/>
    <col min="45" max="45" width="11.5703125" customWidth="1"/>
    <col min="46" max="46" width="11.42578125" customWidth="1"/>
    <col min="47" max="48" width="0.85546875" customWidth="1"/>
    <col min="49" max="49" width="9" customWidth="1"/>
  </cols>
  <sheetData>
    <row r="1" spans="1:48" ht="13.5" customHeight="1">
      <c r="C1" s="137" t="s">
        <v>366</v>
      </c>
      <c r="D1" s="138" t="s">
        <v>367</v>
      </c>
      <c r="AF1" s="139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</row>
    <row r="2" spans="1:48" ht="13.5" customHeight="1">
      <c r="D2" s="138" t="s">
        <v>368</v>
      </c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39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</row>
    <row r="3" spans="1:48" ht="16.5" customHeight="1">
      <c r="A3" s="142"/>
      <c r="B3" s="143"/>
      <c r="D3" s="144" t="s">
        <v>369</v>
      </c>
      <c r="E3" s="145" t="s">
        <v>370</v>
      </c>
      <c r="F3" s="484" t="s">
        <v>371</v>
      </c>
      <c r="G3" s="484"/>
      <c r="H3" s="484"/>
      <c r="I3" s="484"/>
      <c r="J3" s="484"/>
      <c r="K3" s="484"/>
      <c r="L3" s="484"/>
      <c r="M3" s="484"/>
      <c r="N3" s="484"/>
      <c r="O3" s="484"/>
      <c r="P3" s="484"/>
      <c r="Q3" s="484"/>
      <c r="R3" s="484"/>
      <c r="T3" s="485" t="s">
        <v>372</v>
      </c>
      <c r="U3" s="485"/>
      <c r="V3" s="485"/>
      <c r="W3" s="485"/>
      <c r="X3" s="485"/>
      <c r="Y3" s="485"/>
      <c r="Z3" s="485"/>
      <c r="AA3" s="485"/>
      <c r="AB3" s="485"/>
      <c r="AC3" s="485"/>
      <c r="AD3" s="485"/>
      <c r="AE3" s="485"/>
      <c r="AF3" s="485"/>
      <c r="AH3" s="484" t="s">
        <v>373</v>
      </c>
      <c r="AI3" s="484"/>
      <c r="AJ3" s="484"/>
      <c r="AK3" s="484"/>
      <c r="AL3" s="484"/>
      <c r="AM3" s="484"/>
      <c r="AN3" s="484"/>
      <c r="AO3" s="484"/>
      <c r="AP3" s="484"/>
      <c r="AQ3" s="484"/>
      <c r="AR3" s="484"/>
      <c r="AS3" s="484"/>
      <c r="AT3" s="484"/>
    </row>
    <row r="4" spans="1:48" ht="30" customHeight="1">
      <c r="A4" s="146" t="s">
        <v>374</v>
      </c>
      <c r="B4" s="147" t="s">
        <v>375</v>
      </c>
      <c r="D4" s="148" t="s">
        <v>376</v>
      </c>
      <c r="E4" s="145" t="s">
        <v>370</v>
      </c>
      <c r="F4" s="149" t="s">
        <v>377</v>
      </c>
      <c r="G4" s="150" t="s">
        <v>378</v>
      </c>
      <c r="H4" s="150" t="s">
        <v>379</v>
      </c>
      <c r="I4" s="150" t="s">
        <v>380</v>
      </c>
      <c r="J4" s="150" t="s">
        <v>381</v>
      </c>
      <c r="K4" s="150" t="s">
        <v>382</v>
      </c>
      <c r="L4" s="150" t="s">
        <v>383</v>
      </c>
      <c r="M4" s="150" t="s">
        <v>384</v>
      </c>
      <c r="N4" s="150" t="s">
        <v>385</v>
      </c>
      <c r="O4" s="150" t="s">
        <v>386</v>
      </c>
      <c r="P4" s="150" t="s">
        <v>387</v>
      </c>
      <c r="Q4" s="150" t="s">
        <v>388</v>
      </c>
      <c r="R4" s="151" t="s">
        <v>389</v>
      </c>
      <c r="T4" s="152" t="s">
        <v>390</v>
      </c>
      <c r="U4" s="153" t="s">
        <v>391</v>
      </c>
      <c r="V4" s="153" t="s">
        <v>392</v>
      </c>
      <c r="W4" s="153" t="s">
        <v>393</v>
      </c>
      <c r="X4" s="153" t="s">
        <v>394</v>
      </c>
      <c r="Y4" s="153" t="s">
        <v>395</v>
      </c>
      <c r="Z4" s="153" t="s">
        <v>396</v>
      </c>
      <c r="AA4" s="153" t="s">
        <v>397</v>
      </c>
      <c r="AB4" s="153" t="s">
        <v>398</v>
      </c>
      <c r="AC4" s="153" t="s">
        <v>399</v>
      </c>
      <c r="AD4" s="153" t="s">
        <v>400</v>
      </c>
      <c r="AE4" s="153" t="s">
        <v>401</v>
      </c>
      <c r="AF4" s="154" t="s">
        <v>389</v>
      </c>
      <c r="AH4" s="149" t="s">
        <v>377</v>
      </c>
      <c r="AI4" s="150" t="s">
        <v>378</v>
      </c>
      <c r="AJ4" s="150" t="s">
        <v>379</v>
      </c>
      <c r="AK4" s="150" t="s">
        <v>380</v>
      </c>
      <c r="AL4" s="150" t="s">
        <v>381</v>
      </c>
      <c r="AM4" s="150" t="s">
        <v>382</v>
      </c>
      <c r="AN4" s="150" t="s">
        <v>383</v>
      </c>
      <c r="AO4" s="150" t="s">
        <v>384</v>
      </c>
      <c r="AP4" s="150" t="s">
        <v>385</v>
      </c>
      <c r="AQ4" s="150" t="s">
        <v>386</v>
      </c>
      <c r="AR4" s="150" t="s">
        <v>387</v>
      </c>
      <c r="AS4" s="150" t="s">
        <v>388</v>
      </c>
      <c r="AT4" s="155" t="s">
        <v>402</v>
      </c>
    </row>
    <row r="5" spans="1:48" ht="5.25" customHeight="1">
      <c r="D5" s="156"/>
      <c r="E5" s="145" t="s">
        <v>370</v>
      </c>
      <c r="T5" s="157"/>
      <c r="AF5" s="158"/>
      <c r="AG5" s="145"/>
      <c r="AH5" s="157"/>
      <c r="AT5" s="158"/>
      <c r="AU5" s="145"/>
    </row>
    <row r="6" spans="1:48" ht="13.5" customHeight="1">
      <c r="A6" s="159">
        <v>401120</v>
      </c>
      <c r="B6" s="159">
        <v>30001120</v>
      </c>
      <c r="D6" s="160" t="s">
        <v>403</v>
      </c>
      <c r="E6" s="161" t="s">
        <v>370</v>
      </c>
      <c r="F6" s="162">
        <v>8115849.3499999996</v>
      </c>
      <c r="G6" s="163">
        <v>7432397.9500000002</v>
      </c>
      <c r="H6" s="164">
        <v>7272375.1799999997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6">
        <v>22820622.48</v>
      </c>
      <c r="S6" s="161"/>
      <c r="T6" s="162">
        <v>7804324.3300000001</v>
      </c>
      <c r="U6" s="163">
        <v>7991024.3399999999</v>
      </c>
      <c r="V6" s="164">
        <v>8136274.3399999999</v>
      </c>
      <c r="W6" s="164">
        <v>8557831</v>
      </c>
      <c r="X6" s="164">
        <v>8554331</v>
      </c>
      <c r="Y6" s="164">
        <v>8719831</v>
      </c>
      <c r="Z6" s="164">
        <v>9239831</v>
      </c>
      <c r="AA6" s="164">
        <v>9133831</v>
      </c>
      <c r="AB6" s="164">
        <v>9193420.5299999993</v>
      </c>
      <c r="AC6" s="164">
        <v>9466824.3399999999</v>
      </c>
      <c r="AD6" s="164">
        <v>9544824.3399999999</v>
      </c>
      <c r="AE6" s="164">
        <v>9634824.3399999999</v>
      </c>
      <c r="AF6" s="167">
        <v>23931623.010000002</v>
      </c>
      <c r="AG6" s="161"/>
      <c r="AH6" s="168">
        <v>9364269.5999999996</v>
      </c>
      <c r="AI6" s="169">
        <v>8689154.7799999993</v>
      </c>
      <c r="AJ6" s="165">
        <v>9094383</v>
      </c>
      <c r="AK6" s="165">
        <v>8471039.3000000007</v>
      </c>
      <c r="AL6" s="165">
        <v>8210998.25</v>
      </c>
      <c r="AM6" s="165">
        <v>7339041.1100000003</v>
      </c>
      <c r="AN6" s="165">
        <v>7190251.3600000003</v>
      </c>
      <c r="AO6" s="165">
        <v>8103029.7699999996</v>
      </c>
      <c r="AP6" s="165">
        <v>8432173.9800000004</v>
      </c>
      <c r="AQ6" s="165">
        <v>8290425.29</v>
      </c>
      <c r="AR6" s="165">
        <v>8434869.8900000006</v>
      </c>
      <c r="AS6" s="165">
        <v>8242874.3700000001</v>
      </c>
      <c r="AT6" s="166">
        <v>99862510.700000003</v>
      </c>
      <c r="AU6" s="161"/>
      <c r="AV6" s="161"/>
    </row>
    <row r="7" spans="1:48" ht="13.5" customHeight="1">
      <c r="A7" s="170"/>
      <c r="B7" s="170"/>
      <c r="D7" s="171" t="s">
        <v>404</v>
      </c>
      <c r="E7" s="172"/>
      <c r="F7" s="173">
        <v>-0.13331741858436</v>
      </c>
      <c r="G7" s="174">
        <v>-0.14463510684522499</v>
      </c>
      <c r="H7" s="175">
        <v>-0.200344302631635</v>
      </c>
      <c r="I7" s="175">
        <v>-1</v>
      </c>
      <c r="J7" s="175">
        <v>-1</v>
      </c>
      <c r="K7" s="175">
        <v>-1</v>
      </c>
      <c r="L7" s="175">
        <v>-1</v>
      </c>
      <c r="M7" s="175">
        <v>-1</v>
      </c>
      <c r="N7" s="175">
        <v>-1</v>
      </c>
      <c r="O7" s="175">
        <v>-1</v>
      </c>
      <c r="P7" s="175">
        <v>-1</v>
      </c>
      <c r="Q7" s="175">
        <v>-1</v>
      </c>
      <c r="R7" s="176">
        <v>-0.15939353183962399</v>
      </c>
      <c r="S7" s="172"/>
      <c r="T7" s="173">
        <v>-0.16658483113301201</v>
      </c>
      <c r="U7" s="175">
        <v>-8.0345034433832493E-2</v>
      </c>
      <c r="V7" s="175">
        <v>-0.105351694556959</v>
      </c>
      <c r="W7" s="175">
        <v>1.0245696770642999E-2</v>
      </c>
      <c r="X7" s="175">
        <v>4.1813764848872302E-2</v>
      </c>
      <c r="Y7" s="175">
        <v>0.188143092442767</v>
      </c>
      <c r="Z7" s="175">
        <v>0.28504978997006902</v>
      </c>
      <c r="AA7" s="175">
        <v>0.1272118280765</v>
      </c>
      <c r="AB7" s="175">
        <v>9.0278800200941603E-2</v>
      </c>
      <c r="AC7" s="175">
        <v>0.14189851652351099</v>
      </c>
      <c r="AD7" s="175">
        <v>0.13159117620959501</v>
      </c>
      <c r="AE7" s="175">
        <v>0.168867061114751</v>
      </c>
      <c r="AF7" s="177">
        <v>-0.118469396993342</v>
      </c>
      <c r="AG7" s="172"/>
      <c r="AH7" s="173">
        <v>0.20560425766995899</v>
      </c>
      <c r="AI7" s="175">
        <v>0.30057000547644103</v>
      </c>
      <c r="AJ7" s="175">
        <v>0.28163696259634502</v>
      </c>
      <c r="AK7" s="175">
        <v>0.15471120230208099</v>
      </c>
      <c r="AL7" s="175">
        <v>-0.273279393276192</v>
      </c>
      <c r="AM7" s="175">
        <v>-2.1549630723713301E-2</v>
      </c>
      <c r="AN7" s="175">
        <v>-0.10016081228604901</v>
      </c>
      <c r="AO7" s="175">
        <v>-0.164702974726399</v>
      </c>
      <c r="AP7" s="175">
        <v>-2.06553429001833E-2</v>
      </c>
      <c r="AQ7" s="175">
        <v>-4.3414343285936602E-2</v>
      </c>
      <c r="AR7" s="175">
        <v>2.7541593533549701E-2</v>
      </c>
      <c r="AS7" s="175">
        <v>0.103680755902935</v>
      </c>
      <c r="AT7" s="176">
        <v>1.5636328629698298E-2</v>
      </c>
      <c r="AU7" s="172"/>
      <c r="AV7" s="172"/>
    </row>
    <row r="8" spans="1:48" ht="13.5" hidden="1" customHeight="1">
      <c r="A8" s="178"/>
      <c r="B8" s="178"/>
      <c r="D8" s="179" t="s">
        <v>405</v>
      </c>
      <c r="E8" s="180" t="s">
        <v>370</v>
      </c>
      <c r="F8" s="181">
        <v>8009134.3499999996</v>
      </c>
      <c r="G8" s="182">
        <v>7324389.3499999996</v>
      </c>
      <c r="H8" s="182">
        <v>7160659.1799999997</v>
      </c>
      <c r="I8" s="182"/>
      <c r="J8" s="182"/>
      <c r="K8" s="183"/>
      <c r="L8" s="183"/>
      <c r="M8" s="183"/>
      <c r="N8" s="183"/>
      <c r="O8" s="183"/>
      <c r="P8" s="183"/>
      <c r="Q8" s="183"/>
      <c r="R8" s="184">
        <v>22494182.879999999</v>
      </c>
      <c r="S8" s="180"/>
      <c r="T8" s="181">
        <v>7804324.3300000001</v>
      </c>
      <c r="U8" s="182">
        <v>7991024.3399999999</v>
      </c>
      <c r="V8" s="182">
        <v>8136274.3399999999</v>
      </c>
      <c r="W8" s="183">
        <v>8557831</v>
      </c>
      <c r="X8" s="183">
        <v>8554331</v>
      </c>
      <c r="Y8" s="183">
        <v>8719831</v>
      </c>
      <c r="Z8" s="183">
        <v>9239831</v>
      </c>
      <c r="AA8" s="183">
        <v>9133831</v>
      </c>
      <c r="AB8" s="183">
        <v>9193420.5299999993</v>
      </c>
      <c r="AC8" s="183">
        <v>9466824.3399999999</v>
      </c>
      <c r="AD8" s="183">
        <v>9544824.3399999999</v>
      </c>
      <c r="AE8" s="183">
        <v>9634824.3399999999</v>
      </c>
      <c r="AF8" s="184">
        <v>23931623.010000002</v>
      </c>
      <c r="AG8" s="180"/>
      <c r="AH8" s="181">
        <v>8153315.3200000003</v>
      </c>
      <c r="AI8" s="182">
        <v>8003440.7999999998</v>
      </c>
      <c r="AJ8" s="182">
        <v>8312700.4199999999</v>
      </c>
      <c r="AK8" s="183">
        <v>7672804.8399999999</v>
      </c>
      <c r="AL8" s="183">
        <v>7193031.9400000004</v>
      </c>
      <c r="AM8" s="183">
        <v>6411047.4800000004</v>
      </c>
      <c r="AN8" s="183">
        <v>6130397.0899999999</v>
      </c>
      <c r="AO8" s="183">
        <v>6472211.1399999997</v>
      </c>
      <c r="AP8" s="183">
        <v>7003890.8899999997</v>
      </c>
      <c r="AQ8" s="183">
        <v>6655956.4400000004</v>
      </c>
      <c r="AR8" s="183">
        <v>6545771.8300000001</v>
      </c>
      <c r="AS8" s="183">
        <v>6613086.4299999997</v>
      </c>
      <c r="AT8" s="184">
        <v>85167654.620000005</v>
      </c>
      <c r="AU8" s="180"/>
      <c r="AV8" s="180"/>
    </row>
    <row r="9" spans="1:48" ht="13.5" hidden="1" customHeight="1">
      <c r="A9" s="178"/>
      <c r="B9" s="178"/>
      <c r="D9" s="185" t="s">
        <v>406</v>
      </c>
      <c r="E9" s="180" t="s">
        <v>370</v>
      </c>
      <c r="F9" s="186">
        <v>106715</v>
      </c>
      <c r="G9" s="187">
        <v>108008.6</v>
      </c>
      <c r="H9" s="188">
        <v>111716</v>
      </c>
      <c r="I9" s="188"/>
      <c r="J9" s="188"/>
      <c r="K9" s="188"/>
      <c r="L9" s="188"/>
      <c r="M9" s="188"/>
      <c r="N9" s="188"/>
      <c r="O9" s="188"/>
      <c r="P9" s="188"/>
      <c r="Q9" s="188"/>
      <c r="R9" s="189">
        <v>326439.59999999998</v>
      </c>
      <c r="S9" s="180"/>
      <c r="T9" s="186"/>
      <c r="U9" s="187"/>
      <c r="V9" s="187"/>
      <c r="W9" s="188"/>
      <c r="X9" s="188"/>
      <c r="Y9" s="188"/>
      <c r="Z9" s="188"/>
      <c r="AA9" s="188"/>
      <c r="AB9" s="188"/>
      <c r="AC9" s="188"/>
      <c r="AD9" s="188"/>
      <c r="AE9" s="188"/>
      <c r="AF9" s="189">
        <v>0</v>
      </c>
      <c r="AG9" s="180"/>
      <c r="AH9" s="186">
        <v>1210954.28</v>
      </c>
      <c r="AI9" s="187">
        <v>685713.98</v>
      </c>
      <c r="AJ9" s="187">
        <v>781682.58</v>
      </c>
      <c r="AK9" s="187">
        <v>798234.46</v>
      </c>
      <c r="AL9" s="187">
        <v>1017966.31</v>
      </c>
      <c r="AM9" s="188">
        <v>927993.63</v>
      </c>
      <c r="AN9" s="188">
        <v>1059854.27</v>
      </c>
      <c r="AO9" s="188">
        <v>1630818.63</v>
      </c>
      <c r="AP9" s="188">
        <v>1428283.09</v>
      </c>
      <c r="AQ9" s="188">
        <v>1634468.85</v>
      </c>
      <c r="AR9" s="188">
        <v>1889098.06</v>
      </c>
      <c r="AS9" s="188">
        <v>1629787.94</v>
      </c>
      <c r="AT9" s="189">
        <v>14694856.08</v>
      </c>
      <c r="AU9" s="180"/>
      <c r="AV9" s="180"/>
    </row>
    <row r="10" spans="1:48" ht="15" customHeight="1">
      <c r="A10" s="159">
        <v>401110</v>
      </c>
      <c r="B10" s="159">
        <v>30001110</v>
      </c>
      <c r="D10" s="190" t="s">
        <v>407</v>
      </c>
      <c r="E10" s="161" t="s">
        <v>370</v>
      </c>
      <c r="F10" s="191">
        <v>380946.3</v>
      </c>
      <c r="G10" s="192">
        <v>263169.71999999997</v>
      </c>
      <c r="H10" s="193">
        <v>310382.43</v>
      </c>
      <c r="I10" s="193">
        <v>0</v>
      </c>
      <c r="J10" s="193">
        <v>0</v>
      </c>
      <c r="K10" s="193">
        <v>0</v>
      </c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3">
        <v>0</v>
      </c>
      <c r="R10" s="194">
        <v>954498.45</v>
      </c>
      <c r="S10" s="161"/>
      <c r="T10" s="191">
        <v>444000</v>
      </c>
      <c r="U10" s="192">
        <v>444000</v>
      </c>
      <c r="V10" s="193">
        <v>494000</v>
      </c>
      <c r="W10" s="193">
        <v>539000</v>
      </c>
      <c r="X10" s="193">
        <v>539000</v>
      </c>
      <c r="Y10" s="193">
        <v>564000</v>
      </c>
      <c r="Z10" s="193">
        <v>794000</v>
      </c>
      <c r="AA10" s="193">
        <v>794000</v>
      </c>
      <c r="AB10" s="193">
        <v>794000</v>
      </c>
      <c r="AC10" s="193">
        <v>914000</v>
      </c>
      <c r="AD10" s="193">
        <v>934000</v>
      </c>
      <c r="AE10" s="195">
        <v>934000</v>
      </c>
      <c r="AF10" s="194">
        <v>1382000</v>
      </c>
      <c r="AG10" s="161"/>
      <c r="AH10" s="168">
        <v>945599.64</v>
      </c>
      <c r="AI10" s="169">
        <v>760708.28</v>
      </c>
      <c r="AJ10" s="165">
        <v>996520</v>
      </c>
      <c r="AK10" s="165">
        <v>824860.2</v>
      </c>
      <c r="AL10" s="165">
        <v>472033.52</v>
      </c>
      <c r="AM10" s="165">
        <v>468225.5</v>
      </c>
      <c r="AN10" s="165">
        <v>448029.4</v>
      </c>
      <c r="AO10" s="165">
        <v>340578.19</v>
      </c>
      <c r="AP10" s="165">
        <v>375258.52</v>
      </c>
      <c r="AQ10" s="165">
        <v>485117.01</v>
      </c>
      <c r="AR10" s="165">
        <v>248609.28</v>
      </c>
      <c r="AS10" s="165">
        <v>385292.72</v>
      </c>
      <c r="AT10" s="166">
        <v>6750832.2599999998</v>
      </c>
      <c r="AU10" s="161"/>
      <c r="AV10" s="161"/>
    </row>
    <row r="11" spans="1:48" ht="13.5" customHeight="1">
      <c r="A11" s="170"/>
      <c r="B11" s="170"/>
      <c r="D11" s="196" t="s">
        <v>408</v>
      </c>
      <c r="E11" s="172"/>
      <c r="F11" s="197">
        <v>-0.59713785424029997</v>
      </c>
      <c r="G11" s="198">
        <v>-0.65404646311987003</v>
      </c>
      <c r="H11" s="199">
        <v>-0.68853366716172304</v>
      </c>
      <c r="I11" s="199">
        <v>-1</v>
      </c>
      <c r="J11" s="199">
        <v>-1</v>
      </c>
      <c r="K11" s="199">
        <v>-1</v>
      </c>
      <c r="L11" s="199">
        <v>-1</v>
      </c>
      <c r="M11" s="199">
        <v>-1</v>
      </c>
      <c r="N11" s="199">
        <v>-1</v>
      </c>
      <c r="O11" s="199">
        <v>-1</v>
      </c>
      <c r="P11" s="199">
        <v>-1</v>
      </c>
      <c r="Q11" s="199">
        <v>-1</v>
      </c>
      <c r="R11" s="177">
        <v>-0.64685193499111104</v>
      </c>
      <c r="S11" s="172"/>
      <c r="T11" s="197">
        <v>-0.53045667403172903</v>
      </c>
      <c r="U11" s="199">
        <v>-0.41633342021727399</v>
      </c>
      <c r="V11" s="199">
        <v>-0.50427487657046499</v>
      </c>
      <c r="W11" s="199">
        <v>-0.34655593760009301</v>
      </c>
      <c r="X11" s="199">
        <v>0.14186806055637699</v>
      </c>
      <c r="Y11" s="199">
        <v>0.20454780869474201</v>
      </c>
      <c r="Z11" s="199">
        <v>0.77220512760992899</v>
      </c>
      <c r="AA11" s="199">
        <v>1.33132955460243</v>
      </c>
      <c r="AB11" s="199">
        <v>1.1158746775423001</v>
      </c>
      <c r="AC11" s="199">
        <v>0.88408153323669303</v>
      </c>
      <c r="AD11" s="199">
        <v>2.75689917930658</v>
      </c>
      <c r="AE11" s="200">
        <v>1.4241309308932699</v>
      </c>
      <c r="AF11" s="177">
        <v>-0.488683689489193</v>
      </c>
      <c r="AG11" s="172"/>
      <c r="AH11" s="197">
        <v>-0.24239964555570601</v>
      </c>
      <c r="AI11" s="199">
        <v>-0.396994151216082</v>
      </c>
      <c r="AJ11" s="199">
        <v>-0.116445217910028</v>
      </c>
      <c r="AK11" s="199">
        <v>-0.29357480897594701</v>
      </c>
      <c r="AL11" s="199">
        <v>-0.63549065635841595</v>
      </c>
      <c r="AM11" s="199">
        <v>-0.59744298221933201</v>
      </c>
      <c r="AN11" s="199">
        <v>-0.63546371688292302</v>
      </c>
      <c r="AO11" s="199">
        <v>-0.78167350144165604</v>
      </c>
      <c r="AP11" s="199">
        <v>-0.63194115272334805</v>
      </c>
      <c r="AQ11" s="199">
        <v>-0.68919636789582195</v>
      </c>
      <c r="AR11" s="199">
        <v>-0.79299151557519598</v>
      </c>
      <c r="AS11" s="199">
        <v>-0.71246710874633001</v>
      </c>
      <c r="AT11" s="177">
        <v>-0.55509505567051498</v>
      </c>
      <c r="AU11" s="172"/>
      <c r="AV11" s="172"/>
    </row>
    <row r="12" spans="1:48" ht="13.5" hidden="1" customHeight="1">
      <c r="A12" s="178"/>
      <c r="B12" s="178"/>
      <c r="D12" s="179" t="s">
        <v>405</v>
      </c>
      <c r="E12" s="180" t="s">
        <v>370</v>
      </c>
      <c r="F12" s="181">
        <v>380946.3</v>
      </c>
      <c r="G12" s="182">
        <v>263169.71999999997</v>
      </c>
      <c r="H12" s="182">
        <v>310382.43</v>
      </c>
      <c r="I12" s="182"/>
      <c r="J12" s="182"/>
      <c r="K12" s="183"/>
      <c r="L12" s="183"/>
      <c r="M12" s="183"/>
      <c r="N12" s="183"/>
      <c r="O12" s="183"/>
      <c r="P12" s="183"/>
      <c r="Q12" s="183"/>
      <c r="R12" s="184">
        <v>954498.45</v>
      </c>
      <c r="S12" s="180"/>
      <c r="T12" s="181">
        <v>444000</v>
      </c>
      <c r="U12" s="182">
        <v>444000</v>
      </c>
      <c r="V12" s="183">
        <v>494000</v>
      </c>
      <c r="W12" s="183">
        <v>539000</v>
      </c>
      <c r="X12" s="183">
        <v>539000</v>
      </c>
      <c r="Y12" s="183">
        <v>564000</v>
      </c>
      <c r="Z12" s="183">
        <v>794000</v>
      </c>
      <c r="AA12" s="183">
        <v>794000</v>
      </c>
      <c r="AB12" s="183">
        <v>794000</v>
      </c>
      <c r="AC12" s="183">
        <v>914000</v>
      </c>
      <c r="AD12" s="183">
        <v>934000</v>
      </c>
      <c r="AE12" s="183">
        <v>934000</v>
      </c>
      <c r="AF12" s="184">
        <v>1382000</v>
      </c>
      <c r="AG12" s="180"/>
      <c r="AH12" s="181">
        <v>927059.64</v>
      </c>
      <c r="AI12" s="182">
        <v>735708.28</v>
      </c>
      <c r="AJ12" s="182">
        <v>967200</v>
      </c>
      <c r="AK12" s="183">
        <v>704640.2</v>
      </c>
      <c r="AL12" s="183">
        <v>398997.52</v>
      </c>
      <c r="AM12" s="183">
        <v>418061.5</v>
      </c>
      <c r="AN12" s="183">
        <v>423279.4</v>
      </c>
      <c r="AO12" s="183">
        <v>87911.360000000001</v>
      </c>
      <c r="AP12" s="183">
        <v>124659.52</v>
      </c>
      <c r="AQ12" s="183">
        <v>230729.16</v>
      </c>
      <c r="AR12" s="183">
        <v>104790.28</v>
      </c>
      <c r="AS12" s="183">
        <v>173791.72</v>
      </c>
      <c r="AT12" s="189">
        <v>5296828.58</v>
      </c>
      <c r="AU12" s="180"/>
      <c r="AV12" s="180"/>
    </row>
    <row r="13" spans="1:48" ht="13.5" hidden="1" customHeight="1">
      <c r="A13" s="178"/>
      <c r="B13" s="178"/>
      <c r="D13" s="201" t="s">
        <v>406</v>
      </c>
      <c r="E13" s="180" t="s">
        <v>370</v>
      </c>
      <c r="F13" s="202"/>
      <c r="G13" s="203"/>
      <c r="H13" s="203"/>
      <c r="I13" s="203"/>
      <c r="J13" s="203"/>
      <c r="K13" s="204"/>
      <c r="L13" s="204"/>
      <c r="M13" s="204"/>
      <c r="N13" s="204"/>
      <c r="O13" s="204"/>
      <c r="P13" s="204"/>
      <c r="Q13" s="204"/>
      <c r="R13" s="205">
        <v>0</v>
      </c>
      <c r="S13" s="180"/>
      <c r="T13" s="202"/>
      <c r="U13" s="203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5">
        <v>0</v>
      </c>
      <c r="AG13" s="180"/>
      <c r="AH13" s="186">
        <v>18540</v>
      </c>
      <c r="AI13" s="187">
        <v>25000</v>
      </c>
      <c r="AJ13" s="187">
        <v>29320</v>
      </c>
      <c r="AK13" s="204">
        <v>120220</v>
      </c>
      <c r="AL13" s="204">
        <v>73036</v>
      </c>
      <c r="AM13" s="204">
        <v>50164</v>
      </c>
      <c r="AN13" s="204">
        <v>24750</v>
      </c>
      <c r="AO13" s="204">
        <v>252666.83</v>
      </c>
      <c r="AP13" s="204">
        <v>250599</v>
      </c>
      <c r="AQ13" s="204">
        <v>254387.85</v>
      </c>
      <c r="AR13" s="204">
        <v>143819</v>
      </c>
      <c r="AS13" s="204">
        <v>211501</v>
      </c>
      <c r="AT13" s="189">
        <v>1454003.68</v>
      </c>
      <c r="AU13" s="180"/>
      <c r="AV13" s="180"/>
    </row>
    <row r="14" spans="1:48" ht="13.5" customHeight="1">
      <c r="A14" s="206"/>
      <c r="B14" s="206"/>
      <c r="D14" s="207" t="s">
        <v>409</v>
      </c>
      <c r="E14" s="161" t="s">
        <v>370</v>
      </c>
      <c r="F14" s="208">
        <v>8496795.6500000004</v>
      </c>
      <c r="G14" s="209">
        <v>7695567.6699999999</v>
      </c>
      <c r="H14" s="209">
        <v>7582757.6100000003</v>
      </c>
      <c r="I14" s="209">
        <v>0</v>
      </c>
      <c r="J14" s="209">
        <v>0</v>
      </c>
      <c r="K14" s="209">
        <v>0</v>
      </c>
      <c r="L14" s="209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10">
        <v>23775120.93</v>
      </c>
      <c r="S14" s="161"/>
      <c r="T14" s="208">
        <v>8248324.3300000001</v>
      </c>
      <c r="U14" s="209">
        <v>8435024.3399999999</v>
      </c>
      <c r="V14" s="209">
        <v>8630274.3399999999</v>
      </c>
      <c r="W14" s="209">
        <v>9096831</v>
      </c>
      <c r="X14" s="209">
        <v>9093331</v>
      </c>
      <c r="Y14" s="209">
        <v>9283831</v>
      </c>
      <c r="Z14" s="209">
        <v>10033831</v>
      </c>
      <c r="AA14" s="209">
        <v>9927831</v>
      </c>
      <c r="AB14" s="209">
        <v>9987420.5299999993</v>
      </c>
      <c r="AC14" s="209">
        <v>10380824.34</v>
      </c>
      <c r="AD14" s="209">
        <v>10478824.34</v>
      </c>
      <c r="AE14" s="209">
        <v>10568824.34</v>
      </c>
      <c r="AF14" s="210">
        <v>25313623.010000002</v>
      </c>
      <c r="AG14" s="161"/>
      <c r="AH14" s="208">
        <v>10309869.24</v>
      </c>
      <c r="AI14" s="209">
        <v>9449863.0600000005</v>
      </c>
      <c r="AJ14" s="209">
        <v>10090903</v>
      </c>
      <c r="AK14" s="209">
        <v>9295899.5</v>
      </c>
      <c r="AL14" s="209">
        <v>8683031.7699999996</v>
      </c>
      <c r="AM14" s="209">
        <v>7807266.6100000003</v>
      </c>
      <c r="AN14" s="209">
        <v>7638280.7599999998</v>
      </c>
      <c r="AO14" s="209">
        <v>8443607.9600000009</v>
      </c>
      <c r="AP14" s="209">
        <v>8807432.5</v>
      </c>
      <c r="AQ14" s="209">
        <v>8775542.3000000007</v>
      </c>
      <c r="AR14" s="209">
        <v>8683479.1699999999</v>
      </c>
      <c r="AS14" s="209">
        <v>8628167.0899999999</v>
      </c>
      <c r="AT14" s="210">
        <v>106613342.95999999</v>
      </c>
      <c r="AU14" s="161"/>
      <c r="AV14" s="161"/>
    </row>
    <row r="15" spans="1:48" ht="13.5" customHeight="1">
      <c r="A15" s="170"/>
      <c r="B15" s="170"/>
      <c r="D15" s="211" t="s">
        <v>410</v>
      </c>
      <c r="E15" s="172"/>
      <c r="F15" s="212">
        <v>3.0123854259256799E-2</v>
      </c>
      <c r="G15" s="213">
        <v>-8.7665030970141999E-2</v>
      </c>
      <c r="H15" s="214">
        <v>-0.12137699089644501</v>
      </c>
      <c r="I15" s="214">
        <v>-1</v>
      </c>
      <c r="J15" s="214">
        <v>-1</v>
      </c>
      <c r="K15" s="214">
        <v>-1</v>
      </c>
      <c r="L15" s="214">
        <v>-1</v>
      </c>
      <c r="M15" s="214">
        <v>-1</v>
      </c>
      <c r="N15" s="214">
        <v>-1</v>
      </c>
      <c r="O15" s="214">
        <v>-1</v>
      </c>
      <c r="P15" s="214">
        <v>-1</v>
      </c>
      <c r="Q15" s="214">
        <v>-1</v>
      </c>
      <c r="R15" s="215">
        <v>-6.0777632636475003E-2</v>
      </c>
      <c r="S15" s="172"/>
      <c r="T15" s="212">
        <v>-0.19995839539862101</v>
      </c>
      <c r="U15" s="214">
        <v>-0.107391896957288</v>
      </c>
      <c r="V15" s="214">
        <v>-0.144747071694178</v>
      </c>
      <c r="W15" s="214">
        <v>-2.1414657075412701E-2</v>
      </c>
      <c r="X15" s="214">
        <v>4.7252991912063697E-2</v>
      </c>
      <c r="Y15" s="214">
        <v>0.18912693312006701</v>
      </c>
      <c r="Z15" s="214">
        <v>0.313624271648271</v>
      </c>
      <c r="AA15" s="214">
        <v>0.17578066710714499</v>
      </c>
      <c r="AB15" s="214">
        <v>0.133976392098378</v>
      </c>
      <c r="AC15" s="214">
        <v>0.18292681923486401</v>
      </c>
      <c r="AD15" s="214">
        <v>0.20675412871405599</v>
      </c>
      <c r="AE15" s="214">
        <v>0.22492114834554</v>
      </c>
      <c r="AF15" s="215">
        <v>-0.76256608875403797</v>
      </c>
      <c r="AG15" s="172"/>
      <c r="AH15" s="212">
        <v>0.14357989895665699</v>
      </c>
      <c r="AI15" s="214">
        <v>0.18977501948706599</v>
      </c>
      <c r="AJ15" s="214">
        <v>0.22704174735770799</v>
      </c>
      <c r="AK15" s="214">
        <v>9.3156628173104203E-2</v>
      </c>
      <c r="AL15" s="214">
        <v>-0.31052485398731899</v>
      </c>
      <c r="AM15" s="214">
        <v>-9.8864137239170702E-2</v>
      </c>
      <c r="AN15" s="214">
        <v>-0.171520282246656</v>
      </c>
      <c r="AO15" s="214">
        <v>-0.25017193696861501</v>
      </c>
      <c r="AP15" s="214">
        <v>-8.5377108678977007E-2</v>
      </c>
      <c r="AQ15" s="214">
        <v>-0.14196864074614499</v>
      </c>
      <c r="AR15" s="214">
        <v>-7.7182661312351394E-2</v>
      </c>
      <c r="AS15" s="214">
        <v>-2.0475568338745101E-2</v>
      </c>
      <c r="AT15" s="215">
        <v>-6.0664785962787598E-2</v>
      </c>
      <c r="AU15" s="172"/>
      <c r="AV15" s="172"/>
    </row>
    <row r="16" spans="1:48" ht="13.5" hidden="1" customHeight="1">
      <c r="A16" s="178">
        <v>500210</v>
      </c>
      <c r="B16" s="178">
        <v>51002840</v>
      </c>
      <c r="D16" s="201" t="s">
        <v>411</v>
      </c>
      <c r="E16" s="180" t="s">
        <v>370</v>
      </c>
      <c r="F16" s="202">
        <v>-2865994.49</v>
      </c>
      <c r="G16" s="203">
        <v>-2865994.49</v>
      </c>
      <c r="H16" s="203">
        <v>-2865994.49</v>
      </c>
      <c r="I16" s="203"/>
      <c r="J16" s="203"/>
      <c r="K16" s="216"/>
      <c r="L16" s="203"/>
      <c r="M16" s="203"/>
      <c r="N16" s="203"/>
      <c r="O16" s="203"/>
      <c r="P16" s="203"/>
      <c r="Q16" s="203"/>
      <c r="R16" s="205">
        <v>-8597983.4700000007</v>
      </c>
      <c r="S16" s="180"/>
      <c r="T16" s="217">
        <v>-2992277.5291666701</v>
      </c>
      <c r="U16" s="217">
        <v>-2992277.5291666701</v>
      </c>
      <c r="V16" s="217">
        <v>-2992277.5291666701</v>
      </c>
      <c r="W16" s="217">
        <v>-3006527.5291666701</v>
      </c>
      <c r="X16" s="217">
        <v>-3006527.5291666701</v>
      </c>
      <c r="Y16" s="217">
        <v>-3006527.5291666701</v>
      </c>
      <c r="Z16" s="217">
        <v>-3006527.5291666701</v>
      </c>
      <c r="AA16" s="217">
        <v>-3006527.5291666701</v>
      </c>
      <c r="AB16" s="217">
        <v>-3006527.5291666701</v>
      </c>
      <c r="AC16" s="217">
        <v>-3035027.5291666701</v>
      </c>
      <c r="AD16" s="217">
        <v>-3035027.5291666701</v>
      </c>
      <c r="AE16" s="217">
        <v>-3035027.5291666701</v>
      </c>
      <c r="AF16" s="218">
        <v>-8976832.5875000004</v>
      </c>
      <c r="AG16" s="180"/>
      <c r="AH16" s="202">
        <v>-2365558.17</v>
      </c>
      <c r="AI16" s="203">
        <v>-2597848.83</v>
      </c>
      <c r="AJ16" s="203">
        <v>-2691052.86</v>
      </c>
      <c r="AK16" s="203">
        <v>-2497358.4</v>
      </c>
      <c r="AL16" s="203">
        <v>-2497358.4</v>
      </c>
      <c r="AM16" s="216">
        <v>-2497358.4</v>
      </c>
      <c r="AN16" s="203">
        <v>-2357033.9</v>
      </c>
      <c r="AO16" s="203">
        <v>-2357215.9</v>
      </c>
      <c r="AP16" s="219">
        <v>-2413085.34</v>
      </c>
      <c r="AQ16" s="203">
        <v>-2402252</v>
      </c>
      <c r="AR16" s="203">
        <v>-2402252</v>
      </c>
      <c r="AS16" s="203">
        <v>-2082797.61</v>
      </c>
      <c r="AT16" s="205">
        <v>-29161171.809999999</v>
      </c>
      <c r="AU16" s="180"/>
      <c r="AV16" s="180"/>
    </row>
    <row r="17" spans="1:48" ht="13.5" hidden="1" customHeight="1">
      <c r="A17" s="178">
        <v>500220</v>
      </c>
      <c r="B17" s="178">
        <v>40000120</v>
      </c>
      <c r="D17" s="201" t="s">
        <v>412</v>
      </c>
      <c r="E17" s="180" t="s">
        <v>370</v>
      </c>
      <c r="F17" s="202">
        <v>-36016</v>
      </c>
      <c r="G17" s="203">
        <v>-34129</v>
      </c>
      <c r="H17" s="203">
        <v>-30408</v>
      </c>
      <c r="I17" s="203"/>
      <c r="J17" s="203"/>
      <c r="K17" s="216"/>
      <c r="L17" s="203"/>
      <c r="M17" s="203"/>
      <c r="N17" s="203"/>
      <c r="O17" s="203"/>
      <c r="P17" s="203"/>
      <c r="Q17" s="203"/>
      <c r="R17" s="205">
        <v>-100553</v>
      </c>
      <c r="S17" s="180"/>
      <c r="T17" s="220">
        <v>-28458</v>
      </c>
      <c r="U17" s="221">
        <v>-28458</v>
      </c>
      <c r="V17" s="221">
        <v>-28458</v>
      </c>
      <c r="W17" s="221">
        <v>-28458</v>
      </c>
      <c r="X17" s="221">
        <v>-28458</v>
      </c>
      <c r="Y17" s="221">
        <v>-28458</v>
      </c>
      <c r="Z17" s="221">
        <v>-28458</v>
      </c>
      <c r="AA17" s="221">
        <v>-28458</v>
      </c>
      <c r="AB17" s="221">
        <v>-28458</v>
      </c>
      <c r="AC17" s="221">
        <v>-28458</v>
      </c>
      <c r="AD17" s="221">
        <v>-28458</v>
      </c>
      <c r="AE17" s="221">
        <v>-28458</v>
      </c>
      <c r="AF17" s="218">
        <v>-85374</v>
      </c>
      <c r="AG17" s="180"/>
      <c r="AH17" s="202">
        <v>-15446.67</v>
      </c>
      <c r="AI17" s="203">
        <v>-15453.33</v>
      </c>
      <c r="AJ17" s="203">
        <v>-403.33</v>
      </c>
      <c r="AK17" s="203"/>
      <c r="AL17" s="203"/>
      <c r="AM17" s="216">
        <v>-33488</v>
      </c>
      <c r="AN17" s="203">
        <v>-71008</v>
      </c>
      <c r="AO17" s="203">
        <v>-37936</v>
      </c>
      <c r="AP17" s="203">
        <v>-22208</v>
      </c>
      <c r="AQ17" s="203">
        <v>-28988</v>
      </c>
      <c r="AR17" s="203">
        <v>-19896</v>
      </c>
      <c r="AS17" s="203">
        <v>-31377</v>
      </c>
      <c r="AT17" s="205">
        <v>-276204.33</v>
      </c>
      <c r="AU17" s="180"/>
      <c r="AV17" s="180"/>
    </row>
    <row r="18" spans="1:48" ht="13.5" hidden="1" customHeight="1">
      <c r="A18" s="178">
        <v>500230</v>
      </c>
      <c r="B18" s="178">
        <v>40000120</v>
      </c>
      <c r="D18" s="201" t="s">
        <v>413</v>
      </c>
      <c r="E18" s="180" t="s">
        <v>370</v>
      </c>
      <c r="F18" s="202">
        <v>-51768</v>
      </c>
      <c r="G18" s="203">
        <v>-42225</v>
      </c>
      <c r="H18" s="203">
        <v>-34940</v>
      </c>
      <c r="I18" s="203"/>
      <c r="J18" s="203"/>
      <c r="K18" s="216"/>
      <c r="L18" s="203"/>
      <c r="M18" s="203"/>
      <c r="N18" s="203"/>
      <c r="O18" s="203"/>
      <c r="P18" s="203"/>
      <c r="Q18" s="203"/>
      <c r="R18" s="205">
        <v>-128933</v>
      </c>
      <c r="S18" s="180"/>
      <c r="T18" s="220">
        <v>-2000</v>
      </c>
      <c r="U18" s="221">
        <v>-2000</v>
      </c>
      <c r="V18" s="221">
        <v>-2000</v>
      </c>
      <c r="W18" s="221">
        <v>-2000</v>
      </c>
      <c r="X18" s="221">
        <v>-2000</v>
      </c>
      <c r="Y18" s="221">
        <v>-2000</v>
      </c>
      <c r="Z18" s="221">
        <v>-2000</v>
      </c>
      <c r="AA18" s="221">
        <v>-2000</v>
      </c>
      <c r="AB18" s="221">
        <v>-2000</v>
      </c>
      <c r="AC18" s="221">
        <v>-2000</v>
      </c>
      <c r="AD18" s="221">
        <v>-2000</v>
      </c>
      <c r="AE18" s="221">
        <v>-2000</v>
      </c>
      <c r="AF18" s="218">
        <v>-6000</v>
      </c>
      <c r="AG18" s="180"/>
      <c r="AH18" s="202">
        <v>-435293.63</v>
      </c>
      <c r="AI18" s="203">
        <v>-371338.1</v>
      </c>
      <c r="AJ18" s="203">
        <v>-462632.4</v>
      </c>
      <c r="AK18" s="203">
        <v>-435327.58</v>
      </c>
      <c r="AL18" s="203">
        <v>-468501.95</v>
      </c>
      <c r="AM18" s="216">
        <v>-468585.99</v>
      </c>
      <c r="AN18" s="203">
        <v>-460481.15</v>
      </c>
      <c r="AO18" s="203">
        <v>-383388.68</v>
      </c>
      <c r="AP18" s="222">
        <v>-187403.9</v>
      </c>
      <c r="AQ18" s="203">
        <v>-59367.4</v>
      </c>
      <c r="AR18" s="203">
        <v>-43339</v>
      </c>
      <c r="AS18" s="203">
        <v>-41492.6</v>
      </c>
      <c r="AT18" s="205">
        <v>-3817152.38</v>
      </c>
      <c r="AU18" s="180"/>
      <c r="AV18" s="180"/>
    </row>
    <row r="19" spans="1:48" ht="13.5" hidden="1" customHeight="1">
      <c r="A19" s="178">
        <v>500240</v>
      </c>
      <c r="B19" s="178">
        <v>40000120</v>
      </c>
      <c r="D19" s="201" t="s">
        <v>414</v>
      </c>
      <c r="E19" s="180" t="s">
        <v>370</v>
      </c>
      <c r="F19" s="202">
        <v>-145482.96</v>
      </c>
      <c r="G19" s="203">
        <v>104809.04</v>
      </c>
      <c r="H19" s="203">
        <v>-18736.96</v>
      </c>
      <c r="I19" s="203"/>
      <c r="J19" s="203"/>
      <c r="K19" s="216"/>
      <c r="L19" s="203"/>
      <c r="M19" s="203"/>
      <c r="N19" s="203"/>
      <c r="O19" s="203"/>
      <c r="P19" s="203"/>
      <c r="Q19" s="203"/>
      <c r="R19" s="205">
        <v>-59410.879999999997</v>
      </c>
      <c r="S19" s="180"/>
      <c r="T19" s="220">
        <v>-41500</v>
      </c>
      <c r="U19" s="221">
        <v>-41500</v>
      </c>
      <c r="V19" s="221">
        <v>-41500</v>
      </c>
      <c r="W19" s="221">
        <v>-41500</v>
      </c>
      <c r="X19" s="221">
        <v>-41500</v>
      </c>
      <c r="Y19" s="221">
        <v>-41500</v>
      </c>
      <c r="Z19" s="221">
        <v>-37000</v>
      </c>
      <c r="AA19" s="221">
        <v>-37000</v>
      </c>
      <c r="AB19" s="221">
        <v>-37000</v>
      </c>
      <c r="AC19" s="221">
        <v>-37000</v>
      </c>
      <c r="AD19" s="221">
        <v>-37000</v>
      </c>
      <c r="AE19" s="221">
        <v>-37000</v>
      </c>
      <c r="AF19" s="218">
        <v>-124500</v>
      </c>
      <c r="AG19" s="180"/>
      <c r="AH19" s="202"/>
      <c r="AI19" s="203"/>
      <c r="AJ19" s="203">
        <v>-26000</v>
      </c>
      <c r="AK19" s="203">
        <v>-63800</v>
      </c>
      <c r="AL19" s="203">
        <v>-57800</v>
      </c>
      <c r="AM19" s="216">
        <v>-56850</v>
      </c>
      <c r="AN19" s="203">
        <v>-19050</v>
      </c>
      <c r="AO19" s="219">
        <v>-70441.960000000006</v>
      </c>
      <c r="AP19" s="219">
        <v>-98799.16</v>
      </c>
      <c r="AQ19" s="219">
        <v>-126761.96</v>
      </c>
      <c r="AR19" s="203">
        <v>-41386.959999999999</v>
      </c>
      <c r="AS19" s="203">
        <v>-18586.96</v>
      </c>
      <c r="AT19" s="205">
        <v>-579477</v>
      </c>
      <c r="AU19" s="180"/>
      <c r="AV19" s="180"/>
    </row>
    <row r="20" spans="1:48" ht="13.5" hidden="1" customHeight="1">
      <c r="A20" s="178">
        <v>500250</v>
      </c>
      <c r="B20" s="178">
        <v>40000120</v>
      </c>
      <c r="D20" s="201" t="s">
        <v>415</v>
      </c>
      <c r="E20" s="180" t="s">
        <v>370</v>
      </c>
      <c r="F20" s="202">
        <v>-78000</v>
      </c>
      <c r="G20" s="203">
        <v>-78000</v>
      </c>
      <c r="H20" s="203">
        <v>-78000</v>
      </c>
      <c r="I20" s="203"/>
      <c r="J20" s="203"/>
      <c r="K20" s="216"/>
      <c r="L20" s="203"/>
      <c r="M20" s="203"/>
      <c r="N20" s="203"/>
      <c r="O20" s="203"/>
      <c r="P20" s="203"/>
      <c r="Q20" s="203"/>
      <c r="R20" s="205">
        <v>-234000</v>
      </c>
      <c r="S20" s="180"/>
      <c r="T20" s="220">
        <v>-66750</v>
      </c>
      <c r="U20" s="221">
        <v>-66750</v>
      </c>
      <c r="V20" s="221">
        <v>-66750</v>
      </c>
      <c r="W20" s="221">
        <v>-66750</v>
      </c>
      <c r="X20" s="221">
        <v>-66750</v>
      </c>
      <c r="Y20" s="221">
        <v>-66750</v>
      </c>
      <c r="Z20" s="221">
        <v>-66750</v>
      </c>
      <c r="AA20" s="221">
        <v>-66750</v>
      </c>
      <c r="AB20" s="221">
        <v>-66750</v>
      </c>
      <c r="AC20" s="221">
        <v>-66750</v>
      </c>
      <c r="AD20" s="221">
        <v>-66750</v>
      </c>
      <c r="AE20" s="221">
        <v>-66750</v>
      </c>
      <c r="AF20" s="218">
        <v>-200250</v>
      </c>
      <c r="AG20" s="180"/>
      <c r="AH20" s="202">
        <v>-125500</v>
      </c>
      <c r="AI20" s="203">
        <v>-105457.13</v>
      </c>
      <c r="AJ20" s="203">
        <v>-66714.320000000007</v>
      </c>
      <c r="AK20" s="203">
        <v>-74000</v>
      </c>
      <c r="AL20" s="203">
        <v>-74000</v>
      </c>
      <c r="AM20" s="216">
        <v>-62000</v>
      </c>
      <c r="AN20" s="203">
        <v>-62000</v>
      </c>
      <c r="AO20" s="203">
        <v>-61600</v>
      </c>
      <c r="AP20" s="203">
        <v>-62000</v>
      </c>
      <c r="AQ20" s="203">
        <v>-62000</v>
      </c>
      <c r="AR20" s="203">
        <v>-74000</v>
      </c>
      <c r="AS20" s="203">
        <v>-78000</v>
      </c>
      <c r="AT20" s="205">
        <v>-907271.45</v>
      </c>
      <c r="AU20" s="180"/>
      <c r="AV20" s="180"/>
    </row>
    <row r="21" spans="1:48" ht="13.5" hidden="1" customHeight="1">
      <c r="A21" s="178"/>
      <c r="B21" s="178"/>
      <c r="D21" s="201" t="s">
        <v>416</v>
      </c>
      <c r="E21" s="180"/>
      <c r="F21" s="202">
        <v>-12099.08</v>
      </c>
      <c r="G21" s="203">
        <v>-12099.08</v>
      </c>
      <c r="H21" s="203">
        <v>-12099.08</v>
      </c>
      <c r="I21" s="203"/>
      <c r="J21" s="203"/>
      <c r="K21" s="216"/>
      <c r="L21" s="203"/>
      <c r="M21" s="203"/>
      <c r="N21" s="203"/>
      <c r="O21" s="203"/>
      <c r="P21" s="203"/>
      <c r="Q21" s="203"/>
      <c r="R21" s="205">
        <v>-36297.24</v>
      </c>
      <c r="S21" s="180"/>
      <c r="T21" s="220">
        <v>-11593</v>
      </c>
      <c r="U21" s="221">
        <v>-11593</v>
      </c>
      <c r="V21" s="221">
        <v>-11593</v>
      </c>
      <c r="W21" s="221">
        <v>-11593</v>
      </c>
      <c r="X21" s="221">
        <v>-11593</v>
      </c>
      <c r="Y21" s="221">
        <v>-11593</v>
      </c>
      <c r="Z21" s="221">
        <v>-11593</v>
      </c>
      <c r="AA21" s="221">
        <v>-11593</v>
      </c>
      <c r="AB21" s="221">
        <v>-11593</v>
      </c>
      <c r="AC21" s="221">
        <v>-11593</v>
      </c>
      <c r="AD21" s="221">
        <v>-11593</v>
      </c>
      <c r="AE21" s="221">
        <v>-11593</v>
      </c>
      <c r="AF21" s="218">
        <v>-34779</v>
      </c>
      <c r="AG21" s="180"/>
      <c r="AH21" s="202">
        <v>-15433.02</v>
      </c>
      <c r="AI21" s="203">
        <v>-55433.02</v>
      </c>
      <c r="AJ21" s="203">
        <v>-15433.02</v>
      </c>
      <c r="AK21" s="203">
        <v>-15433.02</v>
      </c>
      <c r="AL21" s="203">
        <v>-15433.02</v>
      </c>
      <c r="AM21" s="216">
        <v>-15433.02</v>
      </c>
      <c r="AN21" s="219">
        <v>-10585</v>
      </c>
      <c r="AO21" s="203">
        <v>-10585</v>
      </c>
      <c r="AP21" s="203">
        <v>-10585</v>
      </c>
      <c r="AQ21" s="203">
        <v>-12099.08</v>
      </c>
      <c r="AR21" s="203">
        <v>-12099.08</v>
      </c>
      <c r="AS21" s="203">
        <v>120760.71</v>
      </c>
      <c r="AT21" s="205">
        <v>-67790.570000000007</v>
      </c>
      <c r="AU21" s="180"/>
      <c r="AV21" s="180"/>
    </row>
    <row r="22" spans="1:48" ht="13.5" hidden="1" customHeight="1">
      <c r="A22" s="178">
        <v>500260</v>
      </c>
      <c r="B22" s="178">
        <v>40000120</v>
      </c>
      <c r="D22" s="201" t="s">
        <v>417</v>
      </c>
      <c r="E22" s="180" t="s">
        <v>370</v>
      </c>
      <c r="F22" s="202">
        <v>-72812.5</v>
      </c>
      <c r="G22" s="203">
        <v>-72812.5</v>
      </c>
      <c r="H22" s="203">
        <v>-72812.5</v>
      </c>
      <c r="I22" s="203"/>
      <c r="J22" s="203"/>
      <c r="K22" s="216"/>
      <c r="L22" s="203"/>
      <c r="M22" s="203"/>
      <c r="N22" s="203"/>
      <c r="O22" s="203"/>
      <c r="P22" s="203"/>
      <c r="Q22" s="203"/>
      <c r="R22" s="205">
        <v>-218437.5</v>
      </c>
      <c r="S22" s="180"/>
      <c r="T22" s="220">
        <v>-72812.5</v>
      </c>
      <c r="U22" s="221">
        <v>-72812.5</v>
      </c>
      <c r="V22" s="221">
        <v>-87812.5</v>
      </c>
      <c r="W22" s="221">
        <v>-72812.5</v>
      </c>
      <c r="X22" s="221">
        <v>-72812.5</v>
      </c>
      <c r="Y22" s="221">
        <v>-87812.5</v>
      </c>
      <c r="Z22" s="221">
        <v>-72812.5</v>
      </c>
      <c r="AA22" s="221">
        <v>-72812.5</v>
      </c>
      <c r="AB22" s="221">
        <v>-87812.5</v>
      </c>
      <c r="AC22" s="221">
        <v>-72812.5</v>
      </c>
      <c r="AD22" s="221">
        <v>-72812.5</v>
      </c>
      <c r="AE22" s="221">
        <v>-72812.5</v>
      </c>
      <c r="AF22" s="218">
        <v>-233437.5</v>
      </c>
      <c r="AG22" s="180"/>
      <c r="AH22" s="202"/>
      <c r="AI22" s="203"/>
      <c r="AJ22" s="203"/>
      <c r="AK22" s="203"/>
      <c r="AL22" s="203"/>
      <c r="AM22" s="216"/>
      <c r="AN22" s="219">
        <v>-149187.5</v>
      </c>
      <c r="AO22" s="219">
        <v>-65312.5</v>
      </c>
      <c r="AP22" s="219">
        <v>-71312.5</v>
      </c>
      <c r="AQ22" s="219">
        <v>-97812.5</v>
      </c>
      <c r="AR22" s="203">
        <v>-88712.5</v>
      </c>
      <c r="AS22" s="203">
        <v>-282937.06</v>
      </c>
      <c r="AT22" s="205">
        <v>-755274.56</v>
      </c>
      <c r="AU22" s="180"/>
      <c r="AV22" s="180"/>
    </row>
    <row r="23" spans="1:48" ht="13.5" hidden="1" customHeight="1">
      <c r="A23" s="178">
        <v>500270</v>
      </c>
      <c r="B23" s="178">
        <v>40000120</v>
      </c>
      <c r="D23" s="201" t="s">
        <v>418</v>
      </c>
      <c r="E23" s="180" t="s">
        <v>370</v>
      </c>
      <c r="F23" s="202">
        <v>-75935</v>
      </c>
      <c r="G23" s="203">
        <v>-76150</v>
      </c>
      <c r="H23" s="203">
        <v>-76150</v>
      </c>
      <c r="I23" s="203"/>
      <c r="J23" s="203"/>
      <c r="K23" s="216"/>
      <c r="L23" s="203"/>
      <c r="M23" s="223"/>
      <c r="N23" s="203"/>
      <c r="O23" s="203"/>
      <c r="P23" s="203"/>
      <c r="Q23" s="203"/>
      <c r="R23" s="205">
        <v>-228235</v>
      </c>
      <c r="S23" s="180"/>
      <c r="T23" s="220">
        <v>-76083.333333333299</v>
      </c>
      <c r="U23" s="221">
        <v>-76083.333333333299</v>
      </c>
      <c r="V23" s="221">
        <v>-76083.333333333299</v>
      </c>
      <c r="W23" s="221">
        <v>-76083.333333333299</v>
      </c>
      <c r="X23" s="221">
        <v>-76083.333333333299</v>
      </c>
      <c r="Y23" s="221">
        <v>-76083.333333333299</v>
      </c>
      <c r="Z23" s="221">
        <v>-70083.333333333299</v>
      </c>
      <c r="AA23" s="221">
        <v>-70083.333333333299</v>
      </c>
      <c r="AB23" s="221">
        <v>-70083.333333333299</v>
      </c>
      <c r="AC23" s="221">
        <v>-70083.333333333299</v>
      </c>
      <c r="AD23" s="221">
        <v>-70083.333333333299</v>
      </c>
      <c r="AE23" s="221">
        <v>-70083.333333333299</v>
      </c>
      <c r="AF23" s="218">
        <v>-228250</v>
      </c>
      <c r="AG23" s="180"/>
      <c r="AH23" s="224">
        <v>-600576</v>
      </c>
      <c r="AI23" s="203">
        <v>-71423.289999999994</v>
      </c>
      <c r="AJ23" s="219">
        <v>-172000</v>
      </c>
      <c r="AK23" s="219">
        <v>-442442.81</v>
      </c>
      <c r="AL23" s="203">
        <v>-274000</v>
      </c>
      <c r="AM23" s="225">
        <v>-82710.5</v>
      </c>
      <c r="AN23" s="203">
        <v>-74000</v>
      </c>
      <c r="AO23" s="226">
        <v>-604895.24</v>
      </c>
      <c r="AP23" s="219">
        <v>-116561.60000000001</v>
      </c>
      <c r="AQ23" s="203">
        <v>-136490.20000000001</v>
      </c>
      <c r="AR23" s="203">
        <v>-101077.2</v>
      </c>
      <c r="AS23" s="203">
        <v>-196567.99</v>
      </c>
      <c r="AT23" s="205">
        <v>-2872744.83</v>
      </c>
      <c r="AU23" s="180"/>
      <c r="AV23" s="180"/>
    </row>
    <row r="24" spans="1:48" ht="13.5" hidden="1" customHeight="1">
      <c r="A24" s="178">
        <v>500280</v>
      </c>
      <c r="B24" s="178">
        <v>51002820</v>
      </c>
      <c r="D24" s="185" t="s">
        <v>419</v>
      </c>
      <c r="E24" s="180" t="s">
        <v>370</v>
      </c>
      <c r="F24" s="186">
        <v>-78198.61</v>
      </c>
      <c r="G24" s="187">
        <v>-75198.61</v>
      </c>
      <c r="H24" s="187">
        <v>-76866.649999999994</v>
      </c>
      <c r="I24" s="187"/>
      <c r="J24" s="187"/>
      <c r="K24" s="216"/>
      <c r="L24" s="187"/>
      <c r="M24" s="187"/>
      <c r="N24" s="187"/>
      <c r="O24" s="187"/>
      <c r="P24" s="187"/>
      <c r="Q24" s="187"/>
      <c r="R24" s="189">
        <v>-230263.87</v>
      </c>
      <c r="S24" s="180"/>
      <c r="T24" s="220">
        <v>-114621.66666666701</v>
      </c>
      <c r="U24" s="221">
        <v>-114621.66666666701</v>
      </c>
      <c r="V24" s="221">
        <v>-114621.66666666701</v>
      </c>
      <c r="W24" s="221">
        <v>-114621.66666666701</v>
      </c>
      <c r="X24" s="221">
        <v>-114621.66666666701</v>
      </c>
      <c r="Y24" s="221">
        <v>-114621.66666666701</v>
      </c>
      <c r="Z24" s="221">
        <v>-108221.66666666701</v>
      </c>
      <c r="AA24" s="221">
        <v>-108221.66666666701</v>
      </c>
      <c r="AB24" s="221">
        <v>-108221.66666666701</v>
      </c>
      <c r="AC24" s="221">
        <v>-108221.66666666701</v>
      </c>
      <c r="AD24" s="221">
        <v>-108221.66666666701</v>
      </c>
      <c r="AE24" s="221">
        <v>-108221.66666666701</v>
      </c>
      <c r="AF24" s="218">
        <v>-343865</v>
      </c>
      <c r="AG24" s="180"/>
      <c r="AH24" s="186">
        <v>-88156.97</v>
      </c>
      <c r="AI24" s="187">
        <v>-72945.53</v>
      </c>
      <c r="AJ24" s="187">
        <v>-74544.070000000007</v>
      </c>
      <c r="AK24" s="187">
        <v>-79336.070000000007</v>
      </c>
      <c r="AL24" s="187">
        <v>-84510.33</v>
      </c>
      <c r="AM24" s="216">
        <v>-83752.33</v>
      </c>
      <c r="AN24" s="187">
        <v>-70485.67</v>
      </c>
      <c r="AO24" s="187">
        <v>-93585.67</v>
      </c>
      <c r="AP24" s="187">
        <v>-75761.039999999994</v>
      </c>
      <c r="AQ24" s="187">
        <v>-78761.039999999994</v>
      </c>
      <c r="AR24" s="187">
        <v>-100361.04</v>
      </c>
      <c r="AS24" s="187">
        <v>-85827.66</v>
      </c>
      <c r="AT24" s="189">
        <v>-988027.42</v>
      </c>
      <c r="AU24" s="180"/>
      <c r="AV24" s="180"/>
    </row>
    <row r="25" spans="1:48" ht="13.5" hidden="1" customHeight="1">
      <c r="A25" s="227"/>
      <c r="B25" s="227"/>
      <c r="D25" s="228" t="s">
        <v>420</v>
      </c>
      <c r="E25" s="229" t="s">
        <v>370</v>
      </c>
      <c r="F25" s="230">
        <v>-3416306.64</v>
      </c>
      <c r="G25" s="231">
        <v>-3151799.64</v>
      </c>
      <c r="H25" s="231">
        <v>-3266007.68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2">
        <v>-9834113.9600000009</v>
      </c>
      <c r="S25" s="229"/>
      <c r="T25" s="230">
        <v>-3406096.0291666701</v>
      </c>
      <c r="U25" s="231">
        <v>-3406096.0291666701</v>
      </c>
      <c r="V25" s="231">
        <v>-3421096.0291666701</v>
      </c>
      <c r="W25" s="231">
        <v>-3420346.0291666701</v>
      </c>
      <c r="X25" s="231">
        <v>-3420346.0291666701</v>
      </c>
      <c r="Y25" s="231">
        <v>-3435346.0291666701</v>
      </c>
      <c r="Z25" s="231">
        <v>-3403446.0291666701</v>
      </c>
      <c r="AA25" s="231">
        <v>-3403446.0291666701</v>
      </c>
      <c r="AB25" s="231">
        <v>-3418446.0291666701</v>
      </c>
      <c r="AC25" s="231">
        <v>-3431946.0291666701</v>
      </c>
      <c r="AD25" s="231">
        <v>-3431946.0291666701</v>
      </c>
      <c r="AE25" s="231">
        <v>-3431946.0291666701</v>
      </c>
      <c r="AF25" s="232">
        <v>-10233288.0875</v>
      </c>
      <c r="AG25" s="229"/>
      <c r="AH25" s="230">
        <v>-3645964.46</v>
      </c>
      <c r="AI25" s="231">
        <v>-3289899.23</v>
      </c>
      <c r="AJ25" s="231">
        <v>-3508780</v>
      </c>
      <c r="AK25" s="231">
        <v>-3607697.88</v>
      </c>
      <c r="AL25" s="231">
        <v>-3471603.7</v>
      </c>
      <c r="AM25" s="231">
        <v>-3300178.24</v>
      </c>
      <c r="AN25" s="231">
        <v>-3273831.22</v>
      </c>
      <c r="AO25" s="231">
        <v>-3684960.95</v>
      </c>
      <c r="AP25" s="231">
        <v>-3057716.54</v>
      </c>
      <c r="AQ25" s="231">
        <v>-3004532.18</v>
      </c>
      <c r="AR25" s="231">
        <v>-2883123.78</v>
      </c>
      <c r="AS25" s="231">
        <v>-2696826.17</v>
      </c>
      <c r="AT25" s="232">
        <v>-39425114.350000001</v>
      </c>
      <c r="AU25" s="229"/>
      <c r="AV25" s="229"/>
    </row>
    <row r="26" spans="1:48" ht="13.5" hidden="1" customHeight="1">
      <c r="A26" s="178">
        <v>500110</v>
      </c>
      <c r="B26" s="178">
        <v>40000120</v>
      </c>
      <c r="D26" s="201" t="s">
        <v>421</v>
      </c>
      <c r="E26" s="180" t="s">
        <v>370</v>
      </c>
      <c r="F26" s="202">
        <v>-202470</v>
      </c>
      <c r="G26" s="203">
        <v>-177230</v>
      </c>
      <c r="H26" s="203">
        <v>-200460</v>
      </c>
      <c r="I26" s="203"/>
      <c r="J26" s="203"/>
      <c r="K26" s="216"/>
      <c r="L26" s="203"/>
      <c r="M26" s="203"/>
      <c r="N26" s="203"/>
      <c r="O26" s="203"/>
      <c r="P26" s="203"/>
      <c r="Q26" s="203"/>
      <c r="R26" s="205">
        <v>-580160</v>
      </c>
      <c r="S26" s="180"/>
      <c r="T26" s="220">
        <v>-328560</v>
      </c>
      <c r="U26" s="221">
        <v>-328560</v>
      </c>
      <c r="V26" s="221">
        <v>-365560</v>
      </c>
      <c r="W26" s="221">
        <v>-398860</v>
      </c>
      <c r="X26" s="221">
        <v>-398860</v>
      </c>
      <c r="Y26" s="221">
        <v>-417360</v>
      </c>
      <c r="Z26" s="221">
        <v>-587560</v>
      </c>
      <c r="AA26" s="221">
        <v>-587560</v>
      </c>
      <c r="AB26" s="221">
        <v>-587560</v>
      </c>
      <c r="AC26" s="221">
        <v>-676360</v>
      </c>
      <c r="AD26" s="221">
        <v>-691160</v>
      </c>
      <c r="AE26" s="221">
        <v>-691160</v>
      </c>
      <c r="AF26" s="218">
        <v>-1022680</v>
      </c>
      <c r="AG26" s="180"/>
      <c r="AH26" s="224">
        <v>-140000</v>
      </c>
      <c r="AI26" s="203">
        <v>69479</v>
      </c>
      <c r="AJ26" s="203">
        <v>-147617.5</v>
      </c>
      <c r="AK26" s="203">
        <v>-111242.5</v>
      </c>
      <c r="AL26" s="203">
        <v>-103711.01</v>
      </c>
      <c r="AM26" s="216">
        <v>-56200</v>
      </c>
      <c r="AN26" s="203">
        <v>-248376.8</v>
      </c>
      <c r="AO26" s="203">
        <v>-156546</v>
      </c>
      <c r="AP26" s="219">
        <v>-307202.46999999997</v>
      </c>
      <c r="AQ26" s="203">
        <v>-214680</v>
      </c>
      <c r="AR26" s="203">
        <v>-177345</v>
      </c>
      <c r="AS26" s="203">
        <v>-188310.76</v>
      </c>
      <c r="AT26" s="205">
        <v>-1781753.04</v>
      </c>
      <c r="AU26" s="180"/>
      <c r="AV26" s="180"/>
    </row>
    <row r="27" spans="1:48" ht="13.5" hidden="1" customHeight="1">
      <c r="A27" s="178">
        <v>500120</v>
      </c>
      <c r="B27" s="178">
        <v>40000120</v>
      </c>
      <c r="D27" s="201" t="s">
        <v>422</v>
      </c>
      <c r="E27" s="180" t="s">
        <v>370</v>
      </c>
      <c r="F27" s="202"/>
      <c r="G27" s="203"/>
      <c r="H27" s="203"/>
      <c r="I27" s="203"/>
      <c r="J27" s="203"/>
      <c r="K27" s="216"/>
      <c r="L27" s="203"/>
      <c r="M27" s="203"/>
      <c r="N27" s="203"/>
      <c r="O27" s="203"/>
      <c r="P27" s="203"/>
      <c r="Q27" s="203"/>
      <c r="R27" s="205">
        <v>0</v>
      </c>
      <c r="S27" s="180"/>
      <c r="T27" s="220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18">
        <v>0</v>
      </c>
      <c r="AG27" s="180"/>
      <c r="AH27" s="202">
        <v>-122000</v>
      </c>
      <c r="AI27" s="203">
        <v>-122000</v>
      </c>
      <c r="AJ27" s="203">
        <v>-122000</v>
      </c>
      <c r="AK27" s="203">
        <v>-122000</v>
      </c>
      <c r="AL27" s="203">
        <v>-122000</v>
      </c>
      <c r="AM27" s="216">
        <v>-122000</v>
      </c>
      <c r="AN27" s="203">
        <v>-122000</v>
      </c>
      <c r="AO27" s="203">
        <v>-122000</v>
      </c>
      <c r="AP27" s="203">
        <v>-122000</v>
      </c>
      <c r="AQ27" s="203">
        <v>-122000</v>
      </c>
      <c r="AR27" s="203">
        <v>-81333.399999999994</v>
      </c>
      <c r="AS27" s="203"/>
      <c r="AT27" s="205">
        <v>-1301333.3999999999</v>
      </c>
      <c r="AU27" s="180"/>
      <c r="AV27" s="180"/>
    </row>
    <row r="28" spans="1:48" ht="13.5" hidden="1" customHeight="1">
      <c r="A28" s="178">
        <v>500130</v>
      </c>
      <c r="B28" s="178">
        <v>40000120</v>
      </c>
      <c r="D28" s="201" t="s">
        <v>423</v>
      </c>
      <c r="E28" s="180" t="s">
        <v>370</v>
      </c>
      <c r="F28" s="202"/>
      <c r="G28" s="203"/>
      <c r="H28" s="203"/>
      <c r="I28" s="203"/>
      <c r="J28" s="203"/>
      <c r="K28" s="216"/>
      <c r="L28" s="203"/>
      <c r="M28" s="203"/>
      <c r="N28" s="203"/>
      <c r="O28" s="203"/>
      <c r="P28" s="203"/>
      <c r="Q28" s="203"/>
      <c r="R28" s="205">
        <v>0</v>
      </c>
      <c r="S28" s="180"/>
      <c r="T28" s="220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18">
        <v>0</v>
      </c>
      <c r="AG28" s="180"/>
      <c r="AH28" s="202">
        <v>-9501.4</v>
      </c>
      <c r="AI28" s="203"/>
      <c r="AJ28" s="203"/>
      <c r="AK28" s="203"/>
      <c r="AL28" s="203"/>
      <c r="AM28" s="216"/>
      <c r="AN28" s="203"/>
      <c r="AO28" s="203"/>
      <c r="AP28" s="203"/>
      <c r="AQ28" s="203"/>
      <c r="AR28" s="203"/>
      <c r="AS28" s="203"/>
      <c r="AT28" s="205">
        <v>-9501.4</v>
      </c>
      <c r="AU28" s="180"/>
      <c r="AV28" s="180"/>
    </row>
    <row r="29" spans="1:48" ht="13.5" hidden="1" customHeight="1">
      <c r="A29" s="178">
        <v>500140</v>
      </c>
      <c r="B29" s="178">
        <v>40000120</v>
      </c>
      <c r="D29" s="201" t="s">
        <v>424</v>
      </c>
      <c r="E29" s="180" t="s">
        <v>370</v>
      </c>
      <c r="F29" s="202"/>
      <c r="G29" s="203"/>
      <c r="H29" s="203"/>
      <c r="I29" s="203"/>
      <c r="J29" s="203"/>
      <c r="K29" s="216"/>
      <c r="L29" s="203"/>
      <c r="M29" s="203"/>
      <c r="N29" s="203"/>
      <c r="O29" s="203"/>
      <c r="P29" s="203"/>
      <c r="Q29" s="203"/>
      <c r="R29" s="205">
        <v>0</v>
      </c>
      <c r="S29" s="180"/>
      <c r="T29" s="220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18">
        <v>0</v>
      </c>
      <c r="AG29" s="180"/>
      <c r="AH29" s="202"/>
      <c r="AI29" s="203"/>
      <c r="AJ29" s="203"/>
      <c r="AK29" s="203"/>
      <c r="AL29" s="203"/>
      <c r="AM29" s="216"/>
      <c r="AN29" s="203"/>
      <c r="AO29" s="203"/>
      <c r="AP29" s="203"/>
      <c r="AQ29" s="203"/>
      <c r="AR29" s="203"/>
      <c r="AS29" s="203"/>
      <c r="AT29" s="205">
        <v>0</v>
      </c>
      <c r="AU29" s="180"/>
      <c r="AV29" s="180"/>
    </row>
    <row r="30" spans="1:48" ht="13.5" hidden="1" customHeight="1">
      <c r="A30" s="178">
        <v>500150</v>
      </c>
      <c r="B30" s="178">
        <v>40000120</v>
      </c>
      <c r="D30" s="201" t="s">
        <v>425</v>
      </c>
      <c r="E30" s="180" t="s">
        <v>370</v>
      </c>
      <c r="F30" s="202"/>
      <c r="G30" s="203"/>
      <c r="H30" s="203"/>
      <c r="I30" s="203"/>
      <c r="J30" s="203"/>
      <c r="K30" s="216"/>
      <c r="L30" s="203"/>
      <c r="M30" s="203"/>
      <c r="N30" s="203"/>
      <c r="O30" s="203"/>
      <c r="P30" s="203"/>
      <c r="Q30" s="203"/>
      <c r="R30" s="205">
        <v>0</v>
      </c>
      <c r="S30" s="180"/>
      <c r="T30" s="220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18">
        <v>0</v>
      </c>
      <c r="AG30" s="180"/>
      <c r="AH30" s="202"/>
      <c r="AI30" s="203"/>
      <c r="AJ30" s="203"/>
      <c r="AK30" s="203"/>
      <c r="AL30" s="203"/>
      <c r="AM30" s="216"/>
      <c r="AN30" s="203"/>
      <c r="AO30" s="203"/>
      <c r="AP30" s="203"/>
      <c r="AQ30" s="203"/>
      <c r="AR30" s="203"/>
      <c r="AS30" s="203"/>
      <c r="AT30" s="205">
        <v>0</v>
      </c>
      <c r="AU30" s="180"/>
      <c r="AV30" s="180"/>
    </row>
    <row r="31" spans="1:48" ht="13.5" hidden="1" customHeight="1">
      <c r="A31" s="178">
        <v>500160</v>
      </c>
      <c r="B31" s="178">
        <v>40000120</v>
      </c>
      <c r="D31" s="201" t="s">
        <v>426</v>
      </c>
      <c r="E31" s="180" t="s">
        <v>370</v>
      </c>
      <c r="F31" s="202">
        <v>-24902.39</v>
      </c>
      <c r="G31" s="203"/>
      <c r="H31" s="203"/>
      <c r="I31" s="203"/>
      <c r="J31" s="203"/>
      <c r="K31" s="216"/>
      <c r="L31" s="203"/>
      <c r="M31" s="203"/>
      <c r="N31" s="203"/>
      <c r="O31" s="203"/>
      <c r="P31" s="203"/>
      <c r="Q31" s="203"/>
      <c r="R31" s="205">
        <v>-24902.39</v>
      </c>
      <c r="S31" s="180"/>
      <c r="T31" s="220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18">
        <v>0</v>
      </c>
      <c r="AG31" s="180"/>
      <c r="AH31" s="202"/>
      <c r="AI31" s="203"/>
      <c r="AJ31" s="203"/>
      <c r="AK31" s="203"/>
      <c r="AL31" s="203"/>
      <c r="AM31" s="216"/>
      <c r="AN31" s="203"/>
      <c r="AO31" s="219">
        <v>-96643.96</v>
      </c>
      <c r="AP31" s="203"/>
      <c r="AQ31" s="219">
        <v>-52745.29</v>
      </c>
      <c r="AR31" s="203"/>
      <c r="AS31" s="203">
        <v>-29001.53</v>
      </c>
      <c r="AT31" s="205">
        <v>-178390.78</v>
      </c>
      <c r="AU31" s="180"/>
      <c r="AV31" s="180"/>
    </row>
    <row r="32" spans="1:48" ht="13.5" hidden="1" customHeight="1">
      <c r="A32" s="178">
        <v>500170</v>
      </c>
      <c r="B32" s="178">
        <v>51002820</v>
      </c>
      <c r="D32" s="201" t="s">
        <v>427</v>
      </c>
      <c r="E32" s="180" t="s">
        <v>370</v>
      </c>
      <c r="F32" s="186">
        <v>-6609.47</v>
      </c>
      <c r="G32" s="187">
        <v>-6609.47</v>
      </c>
      <c r="H32" s="187">
        <v>-3395.1</v>
      </c>
      <c r="I32" s="187"/>
      <c r="J32" s="187"/>
      <c r="K32" s="216"/>
      <c r="L32" s="187"/>
      <c r="M32" s="187"/>
      <c r="N32" s="187"/>
      <c r="O32" s="187"/>
      <c r="P32" s="187"/>
      <c r="Q32" s="187"/>
      <c r="R32" s="205">
        <v>-16614.04</v>
      </c>
      <c r="S32" s="180"/>
      <c r="T32" s="220">
        <v>-2500</v>
      </c>
      <c r="U32" s="221">
        <v>-2500</v>
      </c>
      <c r="V32" s="221">
        <v>-2500</v>
      </c>
      <c r="W32" s="221">
        <v>-2500</v>
      </c>
      <c r="X32" s="221">
        <v>-2500</v>
      </c>
      <c r="Y32" s="221">
        <v>-2500</v>
      </c>
      <c r="Z32" s="221">
        <v>-2500</v>
      </c>
      <c r="AA32" s="221">
        <v>-2500</v>
      </c>
      <c r="AB32" s="221">
        <v>-2500</v>
      </c>
      <c r="AC32" s="221">
        <v>-2500</v>
      </c>
      <c r="AD32" s="221">
        <v>-2500</v>
      </c>
      <c r="AE32" s="221">
        <v>-2500</v>
      </c>
      <c r="AF32" s="218">
        <v>-7500</v>
      </c>
      <c r="AG32" s="180"/>
      <c r="AH32" s="186">
        <v>-19877.099999999999</v>
      </c>
      <c r="AI32" s="187">
        <v>-19877.099999999999</v>
      </c>
      <c r="AJ32" s="187">
        <v>-22646.560000000001</v>
      </c>
      <c r="AK32" s="187">
        <v>-22646.560000000001</v>
      </c>
      <c r="AL32" s="187">
        <v>-22646.560000000001</v>
      </c>
      <c r="AM32" s="216">
        <v>-16857.91</v>
      </c>
      <c r="AN32" s="187">
        <v>-16857.91</v>
      </c>
      <c r="AO32" s="187">
        <v>-16857.91</v>
      </c>
      <c r="AP32" s="187">
        <v>-14111.2</v>
      </c>
      <c r="AQ32" s="187">
        <v>-14111.2</v>
      </c>
      <c r="AR32" s="187">
        <v>-14111.2</v>
      </c>
      <c r="AS32" s="187">
        <v>-7471.58</v>
      </c>
      <c r="AT32" s="205">
        <v>-208072.79</v>
      </c>
      <c r="AU32" s="180"/>
      <c r="AV32" s="180"/>
    </row>
    <row r="33" spans="1:48" ht="13.5" hidden="1" customHeight="1">
      <c r="A33" s="227"/>
      <c r="B33" s="227"/>
      <c r="D33" s="228" t="s">
        <v>428</v>
      </c>
      <c r="E33" s="229" t="s">
        <v>370</v>
      </c>
      <c r="F33" s="230">
        <v>-233981.86</v>
      </c>
      <c r="G33" s="231">
        <v>-183839.47</v>
      </c>
      <c r="H33" s="231">
        <v>-203855.1</v>
      </c>
      <c r="I33" s="231">
        <v>0</v>
      </c>
      <c r="J33" s="231">
        <v>0</v>
      </c>
      <c r="K33" s="231">
        <v>0</v>
      </c>
      <c r="L33" s="233">
        <v>0</v>
      </c>
      <c r="M33" s="233">
        <v>0</v>
      </c>
      <c r="N33" s="233">
        <v>0</v>
      </c>
      <c r="O33" s="231">
        <v>0</v>
      </c>
      <c r="P33" s="231">
        <v>0</v>
      </c>
      <c r="Q33" s="231">
        <v>0</v>
      </c>
      <c r="R33" s="234">
        <v>-621676.43000000005</v>
      </c>
      <c r="S33" s="229"/>
      <c r="T33" s="230">
        <v>-331060</v>
      </c>
      <c r="U33" s="231">
        <v>-331060</v>
      </c>
      <c r="V33" s="231">
        <v>-368060</v>
      </c>
      <c r="W33" s="231">
        <v>-401360</v>
      </c>
      <c r="X33" s="231">
        <v>-401360</v>
      </c>
      <c r="Y33" s="231">
        <v>-419860</v>
      </c>
      <c r="Z33" s="231">
        <v>-590060</v>
      </c>
      <c r="AA33" s="231">
        <v>-590060</v>
      </c>
      <c r="AB33" s="231">
        <v>-590060</v>
      </c>
      <c r="AC33" s="231">
        <v>-678860</v>
      </c>
      <c r="AD33" s="231">
        <v>-693660</v>
      </c>
      <c r="AE33" s="231">
        <v>-693660</v>
      </c>
      <c r="AF33" s="232">
        <v>-1030180</v>
      </c>
      <c r="AG33" s="229"/>
      <c r="AH33" s="230">
        <v>-291378.5</v>
      </c>
      <c r="AI33" s="231">
        <v>-72398.100000000006</v>
      </c>
      <c r="AJ33" s="231">
        <v>-292264.06</v>
      </c>
      <c r="AK33" s="231">
        <v>-255889.06</v>
      </c>
      <c r="AL33" s="231">
        <v>-248357.57</v>
      </c>
      <c r="AM33" s="231">
        <v>-195057.91</v>
      </c>
      <c r="AN33" s="233">
        <v>-387234.71</v>
      </c>
      <c r="AO33" s="233">
        <v>-392047.87</v>
      </c>
      <c r="AP33" s="233">
        <v>-443313.67</v>
      </c>
      <c r="AQ33" s="231">
        <v>-403536.49</v>
      </c>
      <c r="AR33" s="231">
        <v>-272789.59999999998</v>
      </c>
      <c r="AS33" s="231">
        <v>-224783.87</v>
      </c>
      <c r="AT33" s="234">
        <v>-3479051.41</v>
      </c>
      <c r="AU33" s="229"/>
      <c r="AV33" s="229"/>
    </row>
    <row r="34" spans="1:48" ht="13.5" hidden="1" customHeight="1">
      <c r="A34" s="178">
        <v>500310</v>
      </c>
      <c r="B34" s="178">
        <v>51002840</v>
      </c>
      <c r="D34" s="201" t="s">
        <v>429</v>
      </c>
      <c r="E34" s="180" t="s">
        <v>370</v>
      </c>
      <c r="F34" s="202"/>
      <c r="G34" s="203"/>
      <c r="H34" s="203"/>
      <c r="I34" s="203"/>
      <c r="J34" s="203"/>
      <c r="K34" s="216"/>
      <c r="L34" s="223"/>
      <c r="M34" s="223"/>
      <c r="N34" s="223"/>
      <c r="O34" s="223"/>
      <c r="P34" s="223"/>
      <c r="Q34" s="203"/>
      <c r="R34" s="205">
        <v>0</v>
      </c>
      <c r="S34" s="180"/>
      <c r="T34" s="235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7">
        <v>0</v>
      </c>
      <c r="AG34" s="180"/>
      <c r="AH34" s="202"/>
      <c r="AI34" s="203"/>
      <c r="AJ34" s="203"/>
      <c r="AK34" s="203"/>
      <c r="AL34" s="203"/>
      <c r="AM34" s="216"/>
      <c r="AN34" s="223"/>
      <c r="AO34" s="223"/>
      <c r="AP34" s="223"/>
      <c r="AQ34" s="223"/>
      <c r="AR34" s="223"/>
      <c r="AS34" s="203"/>
      <c r="AT34" s="205">
        <v>0</v>
      </c>
      <c r="AU34" s="180"/>
      <c r="AV34" s="180"/>
    </row>
    <row r="35" spans="1:48" ht="13.5" hidden="1" customHeight="1">
      <c r="A35" s="178">
        <v>500320</v>
      </c>
      <c r="B35" s="178">
        <v>40000120</v>
      </c>
      <c r="D35" s="201" t="s">
        <v>430</v>
      </c>
      <c r="E35" s="180" t="s">
        <v>370</v>
      </c>
      <c r="F35" s="202"/>
      <c r="G35" s="203"/>
      <c r="H35" s="203"/>
      <c r="I35" s="203"/>
      <c r="J35" s="203"/>
      <c r="K35" s="216"/>
      <c r="L35" s="223"/>
      <c r="M35" s="223"/>
      <c r="N35" s="223"/>
      <c r="O35" s="223"/>
      <c r="P35" s="223"/>
      <c r="Q35" s="203"/>
      <c r="R35" s="238">
        <v>0</v>
      </c>
      <c r="S35" s="180"/>
      <c r="T35" s="235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7">
        <v>0</v>
      </c>
      <c r="AG35" s="180"/>
      <c r="AH35" s="202"/>
      <c r="AI35" s="203"/>
      <c r="AJ35" s="203"/>
      <c r="AK35" s="203"/>
      <c r="AL35" s="203"/>
      <c r="AM35" s="216"/>
      <c r="AN35" s="223"/>
      <c r="AO35" s="223"/>
      <c r="AP35" s="223"/>
      <c r="AQ35" s="223"/>
      <c r="AR35" s="223"/>
      <c r="AS35" s="203"/>
      <c r="AT35" s="239">
        <v>0</v>
      </c>
      <c r="AU35" s="180"/>
      <c r="AV35" s="180"/>
    </row>
    <row r="36" spans="1:48" ht="13.5" hidden="1" customHeight="1">
      <c r="A36" s="178">
        <v>500330</v>
      </c>
      <c r="B36" s="178">
        <v>40000120</v>
      </c>
      <c r="D36" s="201" t="s">
        <v>431</v>
      </c>
      <c r="E36" s="180" t="s">
        <v>370</v>
      </c>
      <c r="F36" s="202"/>
      <c r="G36" s="203"/>
      <c r="H36" s="203"/>
      <c r="I36" s="203"/>
      <c r="J36" s="203"/>
      <c r="K36" s="216"/>
      <c r="L36" s="203"/>
      <c r="M36" s="203"/>
      <c r="N36" s="203"/>
      <c r="O36" s="203"/>
      <c r="P36" s="203"/>
      <c r="Q36" s="203"/>
      <c r="R36" s="205">
        <v>0</v>
      </c>
      <c r="S36" s="180"/>
      <c r="T36" s="235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7">
        <v>0</v>
      </c>
      <c r="AG36" s="180"/>
      <c r="AH36" s="202"/>
      <c r="AI36" s="203"/>
      <c r="AJ36" s="203"/>
      <c r="AK36" s="203"/>
      <c r="AL36" s="203"/>
      <c r="AM36" s="216"/>
      <c r="AN36" s="203"/>
      <c r="AO36" s="203"/>
      <c r="AP36" s="203"/>
      <c r="AQ36" s="203"/>
      <c r="AR36" s="203"/>
      <c r="AS36" s="203"/>
      <c r="AT36" s="205">
        <v>0</v>
      </c>
      <c r="AU36" s="180"/>
      <c r="AV36" s="180"/>
    </row>
    <row r="37" spans="1:48" ht="13.5" hidden="1" customHeight="1">
      <c r="A37" s="178">
        <v>500340</v>
      </c>
      <c r="B37" s="178">
        <v>40000120</v>
      </c>
      <c r="D37" s="201" t="s">
        <v>432</v>
      </c>
      <c r="E37" s="180" t="s">
        <v>370</v>
      </c>
      <c r="F37" s="202"/>
      <c r="G37" s="203"/>
      <c r="H37" s="203"/>
      <c r="I37" s="203"/>
      <c r="J37" s="203"/>
      <c r="K37" s="216"/>
      <c r="L37" s="203"/>
      <c r="M37" s="203"/>
      <c r="N37" s="203"/>
      <c r="O37" s="203"/>
      <c r="P37" s="203"/>
      <c r="Q37" s="203"/>
      <c r="R37" s="205">
        <v>0</v>
      </c>
      <c r="S37" s="180"/>
      <c r="T37" s="235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7">
        <v>0</v>
      </c>
      <c r="AG37" s="180"/>
      <c r="AH37" s="202"/>
      <c r="AI37" s="203"/>
      <c r="AJ37" s="203"/>
      <c r="AK37" s="203"/>
      <c r="AL37" s="203"/>
      <c r="AM37" s="216"/>
      <c r="AN37" s="203"/>
      <c r="AO37" s="203"/>
      <c r="AP37" s="203"/>
      <c r="AQ37" s="203"/>
      <c r="AR37" s="203"/>
      <c r="AS37" s="203"/>
      <c r="AT37" s="205">
        <v>0</v>
      </c>
      <c r="AU37" s="180"/>
      <c r="AV37" s="180"/>
    </row>
    <row r="38" spans="1:48" ht="13.5" hidden="1" customHeight="1">
      <c r="A38" s="178">
        <v>500350</v>
      </c>
      <c r="B38" s="178">
        <v>40000120</v>
      </c>
      <c r="D38" s="201" t="s">
        <v>433</v>
      </c>
      <c r="E38" s="180" t="s">
        <v>370</v>
      </c>
      <c r="F38" s="202"/>
      <c r="G38" s="203"/>
      <c r="H38" s="203"/>
      <c r="I38" s="203"/>
      <c r="J38" s="203"/>
      <c r="K38" s="216"/>
      <c r="L38" s="203"/>
      <c r="M38" s="203"/>
      <c r="N38" s="203"/>
      <c r="O38" s="203"/>
      <c r="P38" s="203"/>
      <c r="Q38" s="203"/>
      <c r="R38" s="205">
        <v>0</v>
      </c>
      <c r="S38" s="180"/>
      <c r="T38" s="235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7">
        <v>0</v>
      </c>
      <c r="AG38" s="180"/>
      <c r="AH38" s="202"/>
      <c r="AI38" s="203"/>
      <c r="AJ38" s="203"/>
      <c r="AK38" s="203"/>
      <c r="AL38" s="203"/>
      <c r="AM38" s="216"/>
      <c r="AN38" s="203"/>
      <c r="AO38" s="203"/>
      <c r="AP38" s="203"/>
      <c r="AQ38" s="203"/>
      <c r="AR38" s="203"/>
      <c r="AS38" s="203"/>
      <c r="AT38" s="205">
        <v>0</v>
      </c>
      <c r="AU38" s="180"/>
      <c r="AV38" s="180"/>
    </row>
    <row r="39" spans="1:48" ht="13.5" hidden="1" customHeight="1">
      <c r="A39" s="178">
        <v>500360</v>
      </c>
      <c r="B39" s="178">
        <v>40000120</v>
      </c>
      <c r="D39" s="201" t="s">
        <v>434</v>
      </c>
      <c r="E39" s="180" t="s">
        <v>370</v>
      </c>
      <c r="F39" s="202"/>
      <c r="G39" s="203"/>
      <c r="H39" s="203"/>
      <c r="I39" s="203"/>
      <c r="J39" s="203"/>
      <c r="K39" s="216"/>
      <c r="L39" s="240"/>
      <c r="M39" s="203"/>
      <c r="N39" s="203"/>
      <c r="O39" s="203"/>
      <c r="P39" s="203"/>
      <c r="Q39" s="203"/>
      <c r="R39" s="205">
        <v>0</v>
      </c>
      <c r="S39" s="180"/>
      <c r="T39" s="235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7">
        <v>0</v>
      </c>
      <c r="AG39" s="180"/>
      <c r="AH39" s="202"/>
      <c r="AI39" s="203"/>
      <c r="AJ39" s="203"/>
      <c r="AK39" s="203"/>
      <c r="AL39" s="203"/>
      <c r="AM39" s="216"/>
      <c r="AN39" s="240"/>
      <c r="AO39" s="203"/>
      <c r="AP39" s="203"/>
      <c r="AQ39" s="203"/>
      <c r="AR39" s="203"/>
      <c r="AS39" s="203"/>
      <c r="AT39" s="205">
        <v>0</v>
      </c>
      <c r="AU39" s="180"/>
      <c r="AV39" s="180"/>
    </row>
    <row r="40" spans="1:48" ht="13.5" hidden="1" customHeight="1">
      <c r="A40" s="178">
        <v>500370</v>
      </c>
      <c r="B40" s="178">
        <v>51002820</v>
      </c>
      <c r="D40" s="201" t="s">
        <v>435</v>
      </c>
      <c r="E40" s="180" t="s">
        <v>370</v>
      </c>
      <c r="F40" s="202"/>
      <c r="G40" s="203"/>
      <c r="H40" s="203"/>
      <c r="I40" s="203"/>
      <c r="J40" s="203"/>
      <c r="K40" s="216"/>
      <c r="L40" s="203"/>
      <c r="M40" s="203"/>
      <c r="N40" s="203"/>
      <c r="O40" s="203"/>
      <c r="P40" s="203"/>
      <c r="Q40" s="203"/>
      <c r="R40" s="205">
        <v>0</v>
      </c>
      <c r="S40" s="180"/>
      <c r="T40" s="235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7">
        <v>0</v>
      </c>
      <c r="AG40" s="180"/>
      <c r="AH40" s="202"/>
      <c r="AI40" s="203"/>
      <c r="AJ40" s="203"/>
      <c r="AK40" s="203"/>
      <c r="AL40" s="203"/>
      <c r="AM40" s="216"/>
      <c r="AN40" s="203"/>
      <c r="AO40" s="203"/>
      <c r="AP40" s="203"/>
      <c r="AQ40" s="203"/>
      <c r="AR40" s="203"/>
      <c r="AS40" s="203"/>
      <c r="AT40" s="205">
        <v>0</v>
      </c>
      <c r="AU40" s="180"/>
      <c r="AV40" s="180"/>
    </row>
    <row r="41" spans="1:48" ht="13.5" hidden="1" customHeight="1">
      <c r="A41" s="227"/>
      <c r="B41" s="227"/>
      <c r="D41" s="228" t="s">
        <v>436</v>
      </c>
      <c r="E41" s="229" t="s">
        <v>370</v>
      </c>
      <c r="F41" s="230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4">
        <v>0</v>
      </c>
      <c r="S41" s="229"/>
      <c r="T41" s="241">
        <v>0</v>
      </c>
      <c r="U41" s="242">
        <v>0</v>
      </c>
      <c r="V41" s="242">
        <v>0</v>
      </c>
      <c r="W41" s="242">
        <v>0</v>
      </c>
      <c r="X41" s="242">
        <v>0</v>
      </c>
      <c r="Y41" s="242">
        <v>0</v>
      </c>
      <c r="Z41" s="242">
        <v>0</v>
      </c>
      <c r="AA41" s="242">
        <v>0</v>
      </c>
      <c r="AB41" s="242">
        <v>0</v>
      </c>
      <c r="AC41" s="242">
        <v>0</v>
      </c>
      <c r="AD41" s="242">
        <v>0</v>
      </c>
      <c r="AE41" s="242">
        <v>0</v>
      </c>
      <c r="AF41" s="243">
        <v>0</v>
      </c>
      <c r="AG41" s="229"/>
      <c r="AH41" s="230">
        <v>0</v>
      </c>
      <c r="AI41" s="231">
        <v>0</v>
      </c>
      <c r="AJ41" s="231">
        <v>0</v>
      </c>
      <c r="AK41" s="231">
        <v>0</v>
      </c>
      <c r="AL41" s="231">
        <v>0</v>
      </c>
      <c r="AM41" s="231">
        <v>0</v>
      </c>
      <c r="AN41" s="231">
        <v>0</v>
      </c>
      <c r="AO41" s="231">
        <v>0</v>
      </c>
      <c r="AP41" s="231">
        <v>0</v>
      </c>
      <c r="AQ41" s="231">
        <v>0</v>
      </c>
      <c r="AR41" s="231">
        <v>0</v>
      </c>
      <c r="AS41" s="231">
        <v>0</v>
      </c>
      <c r="AT41" s="234">
        <v>0</v>
      </c>
      <c r="AU41" s="229"/>
      <c r="AV41" s="229"/>
    </row>
    <row r="42" spans="1:48" ht="13.5" hidden="1" customHeight="1">
      <c r="A42" s="206"/>
      <c r="B42" s="244"/>
      <c r="D42" s="245" t="s">
        <v>437</v>
      </c>
      <c r="E42" s="161" t="s">
        <v>370</v>
      </c>
      <c r="F42" s="246">
        <v>-3650288.5</v>
      </c>
      <c r="G42" s="247">
        <v>-3335639.11</v>
      </c>
      <c r="H42" s="247">
        <v>-3469862.78</v>
      </c>
      <c r="I42" s="247">
        <v>0</v>
      </c>
      <c r="J42" s="247">
        <v>0</v>
      </c>
      <c r="K42" s="247">
        <v>0</v>
      </c>
      <c r="L42" s="247">
        <v>0</v>
      </c>
      <c r="M42" s="247">
        <v>0</v>
      </c>
      <c r="N42" s="247">
        <v>0</v>
      </c>
      <c r="O42" s="247">
        <v>0</v>
      </c>
      <c r="P42" s="247">
        <v>0</v>
      </c>
      <c r="Q42" s="247">
        <v>0</v>
      </c>
      <c r="R42" s="248">
        <v>-10455790.390000001</v>
      </c>
      <c r="S42" s="161"/>
      <c r="T42" s="246">
        <v>-3737156.0291666701</v>
      </c>
      <c r="U42" s="247">
        <v>-3737156.0291666701</v>
      </c>
      <c r="V42" s="247">
        <v>-3789156.0291666701</v>
      </c>
      <c r="W42" s="247">
        <v>-3821706.0291666701</v>
      </c>
      <c r="X42" s="247">
        <v>-3821706.0291666701</v>
      </c>
      <c r="Y42" s="247">
        <v>-3855206.0291666701</v>
      </c>
      <c r="Z42" s="247">
        <v>-3993506.0291666701</v>
      </c>
      <c r="AA42" s="247">
        <v>-3993506.0291666701</v>
      </c>
      <c r="AB42" s="247">
        <v>-4008506.0291666701</v>
      </c>
      <c r="AC42" s="247">
        <v>-4110806.0291666701</v>
      </c>
      <c r="AD42" s="247">
        <v>-4125606.0291666701</v>
      </c>
      <c r="AE42" s="247">
        <v>-4125606.0291666701</v>
      </c>
      <c r="AF42" s="248">
        <v>-11263468.0875</v>
      </c>
      <c r="AG42" s="161"/>
      <c r="AH42" s="246">
        <v>-3937342.96</v>
      </c>
      <c r="AI42" s="247">
        <v>-3362297.33</v>
      </c>
      <c r="AJ42" s="247">
        <v>-3801044.06</v>
      </c>
      <c r="AK42" s="247">
        <v>-3863586.94</v>
      </c>
      <c r="AL42" s="247">
        <v>-3719961.27</v>
      </c>
      <c r="AM42" s="247">
        <v>-3495236.15</v>
      </c>
      <c r="AN42" s="247">
        <v>-3661065.93</v>
      </c>
      <c r="AO42" s="247">
        <v>-4077008.82</v>
      </c>
      <c r="AP42" s="247">
        <v>-3501030.21</v>
      </c>
      <c r="AQ42" s="247">
        <v>-3408068.67</v>
      </c>
      <c r="AR42" s="247">
        <v>-3155913.38</v>
      </c>
      <c r="AS42" s="247">
        <v>-2921610.04</v>
      </c>
      <c r="AT42" s="248">
        <v>-42904165.759999998</v>
      </c>
      <c r="AU42" s="161"/>
      <c r="AV42" s="161"/>
    </row>
    <row r="43" spans="1:48" ht="13.5" hidden="1" customHeight="1">
      <c r="A43" s="178">
        <v>510110</v>
      </c>
      <c r="B43" s="178">
        <v>51001110</v>
      </c>
      <c r="D43" s="249" t="s">
        <v>438</v>
      </c>
      <c r="E43" s="180" t="s">
        <v>370</v>
      </c>
      <c r="F43" s="250">
        <v>-828900</v>
      </c>
      <c r="G43" s="216">
        <v>-777968</v>
      </c>
      <c r="H43" s="216">
        <v>-755768</v>
      </c>
      <c r="I43" s="216"/>
      <c r="J43" s="216"/>
      <c r="K43" s="216"/>
      <c r="L43" s="182"/>
      <c r="M43" s="216"/>
      <c r="N43" s="216"/>
      <c r="O43" s="216"/>
      <c r="P43" s="216"/>
      <c r="Q43" s="216"/>
      <c r="R43" s="218">
        <v>-2362636</v>
      </c>
      <c r="S43" s="180"/>
      <c r="T43" s="220">
        <v>-808967.60914285702</v>
      </c>
      <c r="U43" s="221">
        <v>-808967.60914285702</v>
      </c>
      <c r="V43" s="221">
        <v>-808967.60914285702</v>
      </c>
      <c r="W43" s="221">
        <v>-808967.60914285702</v>
      </c>
      <c r="X43" s="221">
        <v>-808967.60914285702</v>
      </c>
      <c r="Y43" s="221">
        <v>-808967.60914285702</v>
      </c>
      <c r="Z43" s="221">
        <v>-808967.60914285702</v>
      </c>
      <c r="AA43" s="221">
        <v>-808967.60914285702</v>
      </c>
      <c r="AB43" s="221">
        <v>-808967.60914285702</v>
      </c>
      <c r="AC43" s="221">
        <v>-808967.60914285702</v>
      </c>
      <c r="AD43" s="221">
        <v>-808967.60914285702</v>
      </c>
      <c r="AE43" s="221">
        <v>-808967.60914285702</v>
      </c>
      <c r="AF43" s="218">
        <v>-2426902.82742857</v>
      </c>
      <c r="AG43" s="180"/>
      <c r="AH43" s="250">
        <v>-810078.79</v>
      </c>
      <c r="AI43" s="216">
        <v>-822325.35</v>
      </c>
      <c r="AJ43" s="216">
        <v>-843313</v>
      </c>
      <c r="AK43" s="216">
        <v>-826302</v>
      </c>
      <c r="AL43" s="216">
        <v>-762319</v>
      </c>
      <c r="AM43" s="216">
        <v>-770715</v>
      </c>
      <c r="AN43" s="182">
        <v>-804218</v>
      </c>
      <c r="AO43" s="216">
        <v>-800554.66</v>
      </c>
      <c r="AP43" s="216">
        <v>-794401</v>
      </c>
      <c r="AQ43" s="216">
        <v>-789423</v>
      </c>
      <c r="AR43" s="216">
        <v>-858099</v>
      </c>
      <c r="AS43" s="216">
        <v>-768529</v>
      </c>
      <c r="AT43" s="218">
        <v>-9650277.8000000007</v>
      </c>
      <c r="AU43" s="180"/>
      <c r="AV43" s="180"/>
    </row>
    <row r="44" spans="1:48" ht="13.5" hidden="1" customHeight="1">
      <c r="A44" s="178">
        <v>510120</v>
      </c>
      <c r="B44" s="178">
        <v>51001150</v>
      </c>
      <c r="D44" s="201" t="s">
        <v>439</v>
      </c>
      <c r="E44" s="180" t="s">
        <v>370</v>
      </c>
      <c r="F44" s="202">
        <v>-88931</v>
      </c>
      <c r="G44" s="203">
        <v>-87365</v>
      </c>
      <c r="H44" s="203">
        <v>-86451</v>
      </c>
      <c r="I44" s="203"/>
      <c r="J44" s="203"/>
      <c r="K44" s="216"/>
      <c r="L44" s="203"/>
      <c r="M44" s="216"/>
      <c r="N44" s="216"/>
      <c r="O44" s="203"/>
      <c r="P44" s="203"/>
      <c r="Q44" s="203"/>
      <c r="R44" s="205">
        <v>-262747</v>
      </c>
      <c r="S44" s="180"/>
      <c r="T44" s="220">
        <v>-93202.152285714299</v>
      </c>
      <c r="U44" s="221">
        <v>-93202.152285714299</v>
      </c>
      <c r="V44" s="221">
        <v>-93202.152285714299</v>
      </c>
      <c r="W44" s="221">
        <v>-93202.152285714299</v>
      </c>
      <c r="X44" s="221">
        <v>-93202.152285714299</v>
      </c>
      <c r="Y44" s="221">
        <v>-93202.152285714299</v>
      </c>
      <c r="Z44" s="221">
        <v>-93202.152285714299</v>
      </c>
      <c r="AA44" s="221">
        <v>-93202.152285714299</v>
      </c>
      <c r="AB44" s="221">
        <v>-93202.152285714299</v>
      </c>
      <c r="AC44" s="221">
        <v>-93202.152285714299</v>
      </c>
      <c r="AD44" s="221">
        <v>-93202.152285714299</v>
      </c>
      <c r="AE44" s="221">
        <v>-93202.152285714299</v>
      </c>
      <c r="AF44" s="218">
        <v>-279606.45685714303</v>
      </c>
      <c r="AG44" s="180"/>
      <c r="AH44" s="202">
        <v>-105269.43</v>
      </c>
      <c r="AI44" s="203">
        <v>-107367.25</v>
      </c>
      <c r="AJ44" s="203">
        <v>-108131</v>
      </c>
      <c r="AK44" s="203">
        <v>-107379</v>
      </c>
      <c r="AL44" s="203">
        <v>-101748</v>
      </c>
      <c r="AM44" s="216">
        <v>-101588</v>
      </c>
      <c r="AN44" s="203">
        <v>-106824</v>
      </c>
      <c r="AO44" s="216">
        <v>-99618</v>
      </c>
      <c r="AP44" s="216">
        <v>-99844</v>
      </c>
      <c r="AQ44" s="203">
        <v>-99271</v>
      </c>
      <c r="AR44" s="203">
        <v>-98216</v>
      </c>
      <c r="AS44" s="203">
        <v>-90064</v>
      </c>
      <c r="AT44" s="205">
        <v>-1225319.68</v>
      </c>
      <c r="AU44" s="180"/>
      <c r="AV44" s="180"/>
    </row>
    <row r="45" spans="1:48" ht="13.5" hidden="1" customHeight="1">
      <c r="A45" s="178">
        <v>510130</v>
      </c>
      <c r="B45" s="178">
        <v>51001140</v>
      </c>
      <c r="D45" s="201" t="s">
        <v>440</v>
      </c>
      <c r="E45" s="180" t="s">
        <v>370</v>
      </c>
      <c r="F45" s="202">
        <v>-36672</v>
      </c>
      <c r="G45" s="203">
        <v>-36646</v>
      </c>
      <c r="H45" s="203">
        <v>-35193</v>
      </c>
      <c r="I45" s="203"/>
      <c r="J45" s="203"/>
      <c r="K45" s="216"/>
      <c r="L45" s="203"/>
      <c r="M45" s="216"/>
      <c r="N45" s="216"/>
      <c r="O45" s="203"/>
      <c r="P45" s="203"/>
      <c r="Q45" s="203"/>
      <c r="R45" s="205">
        <v>-108511</v>
      </c>
      <c r="S45" s="180"/>
      <c r="T45" s="220">
        <v>-38941.060914285699</v>
      </c>
      <c r="U45" s="221">
        <v>-38941.060914285699</v>
      </c>
      <c r="V45" s="221">
        <v>-38941.060914285699</v>
      </c>
      <c r="W45" s="221">
        <v>-38941.060914285699</v>
      </c>
      <c r="X45" s="221">
        <v>-38941.060914285699</v>
      </c>
      <c r="Y45" s="221">
        <v>-38941.060914285699</v>
      </c>
      <c r="Z45" s="221">
        <v>-38941.060914285699</v>
      </c>
      <c r="AA45" s="221">
        <v>-38941.060914285699</v>
      </c>
      <c r="AB45" s="221">
        <v>-38941.060914285699</v>
      </c>
      <c r="AC45" s="221">
        <v>-38941.060914285699</v>
      </c>
      <c r="AD45" s="221">
        <v>-38941.060914285699</v>
      </c>
      <c r="AE45" s="221">
        <v>-38941.060914285699</v>
      </c>
      <c r="AF45" s="218">
        <v>-116823.182742857</v>
      </c>
      <c r="AG45" s="180"/>
      <c r="AH45" s="202">
        <v>-43730.23</v>
      </c>
      <c r="AI45" s="203">
        <v>-46500.25</v>
      </c>
      <c r="AJ45" s="203">
        <v>-46939</v>
      </c>
      <c r="AK45" s="203">
        <v>-45447</v>
      </c>
      <c r="AL45" s="203">
        <v>-43185</v>
      </c>
      <c r="AM45" s="216">
        <v>-43501</v>
      </c>
      <c r="AN45" s="203">
        <v>-45334</v>
      </c>
      <c r="AO45" s="216">
        <v>-43049</v>
      </c>
      <c r="AP45" s="216">
        <v>-42430</v>
      </c>
      <c r="AQ45" s="203">
        <v>-42200</v>
      </c>
      <c r="AR45" s="203">
        <v>-41779</v>
      </c>
      <c r="AS45" s="203">
        <v>-37398</v>
      </c>
      <c r="AT45" s="205">
        <v>-521492.47999999998</v>
      </c>
      <c r="AU45" s="180"/>
      <c r="AV45" s="180"/>
    </row>
    <row r="46" spans="1:48" ht="13.5" hidden="1" customHeight="1">
      <c r="A46" s="178">
        <v>510140</v>
      </c>
      <c r="B46" s="178">
        <v>51001130</v>
      </c>
      <c r="D46" s="201" t="s">
        <v>441</v>
      </c>
      <c r="E46" s="180" t="s">
        <v>370</v>
      </c>
      <c r="F46" s="202">
        <v>-75200</v>
      </c>
      <c r="G46" s="203">
        <v>-73600</v>
      </c>
      <c r="H46" s="203">
        <v>-69600</v>
      </c>
      <c r="I46" s="203"/>
      <c r="J46" s="203"/>
      <c r="K46" s="216"/>
      <c r="L46" s="203"/>
      <c r="M46" s="216"/>
      <c r="N46" s="216"/>
      <c r="O46" s="203"/>
      <c r="P46" s="203"/>
      <c r="Q46" s="203"/>
      <c r="R46" s="205">
        <v>-218400</v>
      </c>
      <c r="S46" s="180"/>
      <c r="T46" s="220">
        <v>-83100</v>
      </c>
      <c r="U46" s="221">
        <v>-83100</v>
      </c>
      <c r="V46" s="221">
        <v>-83100</v>
      </c>
      <c r="W46" s="221">
        <v>-83100</v>
      </c>
      <c r="X46" s="221">
        <v>-83100</v>
      </c>
      <c r="Y46" s="221">
        <v>-83100</v>
      </c>
      <c r="Z46" s="221">
        <v>-83100</v>
      </c>
      <c r="AA46" s="221">
        <v>-83100</v>
      </c>
      <c r="AB46" s="221">
        <v>-83100</v>
      </c>
      <c r="AC46" s="221">
        <v>-83100</v>
      </c>
      <c r="AD46" s="221">
        <v>-83100</v>
      </c>
      <c r="AE46" s="221">
        <v>-83100</v>
      </c>
      <c r="AF46" s="218">
        <v>-249300</v>
      </c>
      <c r="AG46" s="180"/>
      <c r="AH46" s="202">
        <v>-58597.55</v>
      </c>
      <c r="AI46" s="203">
        <v>-58811.15</v>
      </c>
      <c r="AJ46" s="203">
        <v>-58800</v>
      </c>
      <c r="AK46" s="203">
        <v>-55703</v>
      </c>
      <c r="AL46" s="203">
        <v>-70352</v>
      </c>
      <c r="AM46" s="216">
        <v>-70898</v>
      </c>
      <c r="AN46" s="203">
        <v>-74000</v>
      </c>
      <c r="AO46" s="216">
        <v>-79733.350000000006</v>
      </c>
      <c r="AP46" s="216">
        <v>-79600</v>
      </c>
      <c r="AQ46" s="203">
        <v>-79976</v>
      </c>
      <c r="AR46" s="203">
        <v>-74800</v>
      </c>
      <c r="AS46" s="203">
        <v>-72826</v>
      </c>
      <c r="AT46" s="205">
        <v>-834097.05</v>
      </c>
      <c r="AU46" s="180"/>
      <c r="AV46" s="180"/>
    </row>
    <row r="47" spans="1:48" ht="13.5" hidden="1" customHeight="1">
      <c r="A47" s="178">
        <v>510150</v>
      </c>
      <c r="B47" s="178">
        <v>51001120</v>
      </c>
      <c r="D47" s="201" t="s">
        <v>442</v>
      </c>
      <c r="E47" s="180" t="s">
        <v>370</v>
      </c>
      <c r="F47" s="202">
        <v>-134838</v>
      </c>
      <c r="G47" s="203">
        <v>-92255</v>
      </c>
      <c r="H47" s="203">
        <v>-101971</v>
      </c>
      <c r="I47" s="203"/>
      <c r="J47" s="203"/>
      <c r="K47" s="216"/>
      <c r="L47" s="203"/>
      <c r="M47" s="216"/>
      <c r="N47" s="216"/>
      <c r="O47" s="203"/>
      <c r="P47" s="203"/>
      <c r="Q47" s="203"/>
      <c r="R47" s="205">
        <v>-329064</v>
      </c>
      <c r="S47" s="180"/>
      <c r="T47" s="220">
        <v>-140638.85</v>
      </c>
      <c r="U47" s="221">
        <v>-140638.85</v>
      </c>
      <c r="V47" s="221">
        <v>-240638.85</v>
      </c>
      <c r="W47" s="221">
        <v>-140638.85</v>
      </c>
      <c r="X47" s="221">
        <v>-140638.85</v>
      </c>
      <c r="Y47" s="221">
        <v>-140638.85</v>
      </c>
      <c r="Z47" s="221">
        <v>-140638.85</v>
      </c>
      <c r="AA47" s="221">
        <v>-140638.85</v>
      </c>
      <c r="AB47" s="221">
        <v>-140638.85</v>
      </c>
      <c r="AC47" s="221">
        <v>-140638.85</v>
      </c>
      <c r="AD47" s="221">
        <v>-140638.85</v>
      </c>
      <c r="AE47" s="221">
        <v>-140638.85</v>
      </c>
      <c r="AF47" s="218">
        <v>-521916.55</v>
      </c>
      <c r="AG47" s="180"/>
      <c r="AH47" s="202">
        <v>-202362</v>
      </c>
      <c r="AI47" s="203">
        <v>-176066</v>
      </c>
      <c r="AJ47" s="203">
        <v>-166400</v>
      </c>
      <c r="AK47" s="203">
        <v>-246630</v>
      </c>
      <c r="AL47" s="203">
        <v>-244254</v>
      </c>
      <c r="AM47" s="216">
        <v>-238375</v>
      </c>
      <c r="AN47" s="203">
        <v>-229097</v>
      </c>
      <c r="AO47" s="251">
        <v>-198016</v>
      </c>
      <c r="AP47" s="252">
        <v>-139635</v>
      </c>
      <c r="AQ47" s="219">
        <v>-170630</v>
      </c>
      <c r="AR47" s="203">
        <v>-108587</v>
      </c>
      <c r="AS47" s="203">
        <v>-180164.68</v>
      </c>
      <c r="AT47" s="205">
        <v>-2300216.6800000002</v>
      </c>
      <c r="AU47" s="180"/>
      <c r="AV47" s="180"/>
    </row>
    <row r="48" spans="1:48" ht="13.5" hidden="1" customHeight="1">
      <c r="A48" s="178">
        <v>510160</v>
      </c>
      <c r="B48" s="178">
        <v>51001160</v>
      </c>
      <c r="D48" s="201" t="s">
        <v>443</v>
      </c>
      <c r="E48" s="180" t="s">
        <v>370</v>
      </c>
      <c r="F48" s="202">
        <v>-51392.639999999999</v>
      </c>
      <c r="G48" s="203">
        <v>-50925.98</v>
      </c>
      <c r="H48" s="203">
        <v>-51634.3</v>
      </c>
      <c r="I48" s="203"/>
      <c r="J48" s="203"/>
      <c r="K48" s="216"/>
      <c r="L48" s="203"/>
      <c r="M48" s="216"/>
      <c r="N48" s="216"/>
      <c r="O48" s="203"/>
      <c r="P48" s="203"/>
      <c r="Q48" s="203"/>
      <c r="R48" s="205">
        <v>-153952.92000000001</v>
      </c>
      <c r="S48" s="180"/>
      <c r="T48" s="220">
        <v>-58606.201666666697</v>
      </c>
      <c r="U48" s="221">
        <v>-58606.201666666697</v>
      </c>
      <c r="V48" s="221">
        <v>-58606.201666666697</v>
      </c>
      <c r="W48" s="221">
        <v>-58606.201666666697</v>
      </c>
      <c r="X48" s="221">
        <v>-58606.201666666697</v>
      </c>
      <c r="Y48" s="221">
        <v>-58606.201666666697</v>
      </c>
      <c r="Z48" s="221">
        <v>-58606.201666666697</v>
      </c>
      <c r="AA48" s="221">
        <v>-58606.201666666697</v>
      </c>
      <c r="AB48" s="221">
        <v>-58606.201666666697</v>
      </c>
      <c r="AC48" s="221">
        <v>-58606.201666666697</v>
      </c>
      <c r="AD48" s="221">
        <v>-58606.201666666697</v>
      </c>
      <c r="AE48" s="221">
        <v>-58606.201666666697</v>
      </c>
      <c r="AF48" s="218">
        <v>-175818.60500000001</v>
      </c>
      <c r="AG48" s="180"/>
      <c r="AH48" s="202">
        <v>-57915.87</v>
      </c>
      <c r="AI48" s="203">
        <v>-70550.720000000001</v>
      </c>
      <c r="AJ48" s="203">
        <v>-58324.29</v>
      </c>
      <c r="AK48" s="203">
        <v>-57957.63</v>
      </c>
      <c r="AL48" s="203">
        <v>-58507.62</v>
      </c>
      <c r="AM48" s="216">
        <v>-58467.62</v>
      </c>
      <c r="AN48" s="203">
        <v>-58234.28</v>
      </c>
      <c r="AO48" s="216">
        <v>-61868.28</v>
      </c>
      <c r="AP48" s="216">
        <v>-56417.61</v>
      </c>
      <c r="AQ48" s="203">
        <v>-55150.95</v>
      </c>
      <c r="AR48" s="203">
        <v>-53567.64</v>
      </c>
      <c r="AS48" s="203">
        <v>-2294.41</v>
      </c>
      <c r="AT48" s="205">
        <v>-649256.92000000004</v>
      </c>
      <c r="AU48" s="180"/>
      <c r="AV48" s="180"/>
    </row>
    <row r="49" spans="1:48" ht="13.5" hidden="1" customHeight="1">
      <c r="A49" s="178">
        <v>510170</v>
      </c>
      <c r="B49" s="178">
        <v>51001170</v>
      </c>
      <c r="D49" s="201" t="s">
        <v>444</v>
      </c>
      <c r="E49" s="180" t="s">
        <v>370</v>
      </c>
      <c r="F49" s="202">
        <v>-71575.63</v>
      </c>
      <c r="G49" s="203">
        <v>-71656.72</v>
      </c>
      <c r="H49" s="203">
        <v>-72757.600000000006</v>
      </c>
      <c r="I49" s="203"/>
      <c r="J49" s="203"/>
      <c r="K49" s="216"/>
      <c r="L49" s="203"/>
      <c r="M49" s="216"/>
      <c r="N49" s="216"/>
      <c r="O49" s="203"/>
      <c r="P49" s="203"/>
      <c r="Q49" s="203"/>
      <c r="R49" s="205">
        <v>-215989.95</v>
      </c>
      <c r="S49" s="180"/>
      <c r="T49" s="220">
        <v>-83501.091666666704</v>
      </c>
      <c r="U49" s="221">
        <v>-83501.091666666704</v>
      </c>
      <c r="V49" s="221">
        <v>-83501.091666666704</v>
      </c>
      <c r="W49" s="221">
        <v>-83501.091666666704</v>
      </c>
      <c r="X49" s="221">
        <v>-83501.091666666704</v>
      </c>
      <c r="Y49" s="221">
        <v>-83501.091666666704</v>
      </c>
      <c r="Z49" s="221">
        <v>-83501.091666666704</v>
      </c>
      <c r="AA49" s="221">
        <v>-83501.091666666704</v>
      </c>
      <c r="AB49" s="221">
        <v>-83501.091666666704</v>
      </c>
      <c r="AC49" s="221">
        <v>-83501.091666666704</v>
      </c>
      <c r="AD49" s="221">
        <v>-83501.091666666704</v>
      </c>
      <c r="AE49" s="221">
        <v>-83501.091666666704</v>
      </c>
      <c r="AF49" s="218">
        <v>-250503.27499999999</v>
      </c>
      <c r="AG49" s="180"/>
      <c r="AH49" s="202">
        <v>-79704.77</v>
      </c>
      <c r="AI49" s="203">
        <v>-93010.03</v>
      </c>
      <c r="AJ49" s="203">
        <v>-79932.95</v>
      </c>
      <c r="AK49" s="203">
        <v>-80299.72</v>
      </c>
      <c r="AL49" s="203">
        <v>-81048.02</v>
      </c>
      <c r="AM49" s="216">
        <v>-81189.77</v>
      </c>
      <c r="AN49" s="203">
        <v>-81772.28</v>
      </c>
      <c r="AO49" s="216">
        <v>-79340.73</v>
      </c>
      <c r="AP49" s="216">
        <v>-78871.850000000006</v>
      </c>
      <c r="AQ49" s="203">
        <v>-76872.27</v>
      </c>
      <c r="AR49" s="203">
        <v>-76721.72</v>
      </c>
      <c r="AS49" s="203">
        <v>52428.53</v>
      </c>
      <c r="AT49" s="205">
        <v>-836335.58</v>
      </c>
      <c r="AU49" s="180"/>
      <c r="AV49" s="180"/>
    </row>
    <row r="50" spans="1:48" ht="13.5" hidden="1" customHeight="1">
      <c r="A50" s="178">
        <v>510180</v>
      </c>
      <c r="B50" s="178">
        <v>51001180</v>
      </c>
      <c r="D50" s="201" t="s">
        <v>445</v>
      </c>
      <c r="E50" s="180" t="s">
        <v>370</v>
      </c>
      <c r="F50" s="202">
        <v>-31964</v>
      </c>
      <c r="G50" s="203">
        <v>-32442</v>
      </c>
      <c r="H50" s="203">
        <v>-34169.9</v>
      </c>
      <c r="I50" s="203"/>
      <c r="J50" s="203"/>
      <c r="K50" s="216"/>
      <c r="L50" s="203"/>
      <c r="M50" s="216"/>
      <c r="N50" s="216"/>
      <c r="O50" s="203"/>
      <c r="P50" s="203"/>
      <c r="Q50" s="203"/>
      <c r="R50" s="205">
        <v>-98575.9</v>
      </c>
      <c r="S50" s="180"/>
      <c r="T50" s="220">
        <v>-36009.565000000002</v>
      </c>
      <c r="U50" s="221">
        <v>-36009.565000000002</v>
      </c>
      <c r="V50" s="221">
        <v>-36009.565000000002</v>
      </c>
      <c r="W50" s="221">
        <v>-36009.565000000002</v>
      </c>
      <c r="X50" s="221">
        <v>-36009.565000000002</v>
      </c>
      <c r="Y50" s="221">
        <v>-36009.565000000002</v>
      </c>
      <c r="Z50" s="221">
        <v>-36009.565000000002</v>
      </c>
      <c r="AA50" s="221">
        <v>-36009.565000000002</v>
      </c>
      <c r="AB50" s="221">
        <v>-36009.565000000002</v>
      </c>
      <c r="AC50" s="221">
        <v>-36009.565000000002</v>
      </c>
      <c r="AD50" s="221">
        <v>-36009.565000000002</v>
      </c>
      <c r="AE50" s="221">
        <v>-36009.565000000002</v>
      </c>
      <c r="AF50" s="218">
        <v>-108028.69500000001</v>
      </c>
      <c r="AG50" s="180"/>
      <c r="AH50" s="202">
        <v>-41109</v>
      </c>
      <c r="AI50" s="203">
        <v>-19140</v>
      </c>
      <c r="AJ50" s="203">
        <v>-59608</v>
      </c>
      <c r="AK50" s="203">
        <v>-37976</v>
      </c>
      <c r="AL50" s="203">
        <v>-38356</v>
      </c>
      <c r="AM50" s="216">
        <v>-38641</v>
      </c>
      <c r="AN50" s="203">
        <v>-39062</v>
      </c>
      <c r="AO50" s="216">
        <v>-37930</v>
      </c>
      <c r="AP50" s="216">
        <v>-38428</v>
      </c>
      <c r="AQ50" s="203">
        <v>-37967</v>
      </c>
      <c r="AR50" s="203">
        <v>-32905</v>
      </c>
      <c r="AS50" s="203">
        <v>-83737.42</v>
      </c>
      <c r="AT50" s="205">
        <v>-504859.42</v>
      </c>
      <c r="AU50" s="180"/>
      <c r="AV50" s="180"/>
    </row>
    <row r="51" spans="1:48" ht="13.5" hidden="1" customHeight="1">
      <c r="A51" s="178">
        <v>510190</v>
      </c>
      <c r="B51" s="178">
        <v>51001190</v>
      </c>
      <c r="D51" s="201" t="s">
        <v>446</v>
      </c>
      <c r="E51" s="180" t="s">
        <v>370</v>
      </c>
      <c r="F51" s="202">
        <v>-73119.34</v>
      </c>
      <c r="G51" s="203">
        <v>-71754.95</v>
      </c>
      <c r="H51" s="203">
        <v>-72211.89</v>
      </c>
      <c r="I51" s="203"/>
      <c r="J51" s="203"/>
      <c r="K51" s="216"/>
      <c r="L51" s="203"/>
      <c r="M51" s="216"/>
      <c r="N51" s="216"/>
      <c r="O51" s="203"/>
      <c r="P51" s="203"/>
      <c r="Q51" s="203"/>
      <c r="R51" s="205">
        <v>-217086.18</v>
      </c>
      <c r="S51" s="180"/>
      <c r="T51" s="220">
        <v>-65041</v>
      </c>
      <c r="U51" s="221">
        <v>-65041</v>
      </c>
      <c r="V51" s="221">
        <v>-65041</v>
      </c>
      <c r="W51" s="221">
        <v>-65041</v>
      </c>
      <c r="X51" s="221">
        <v>-65041</v>
      </c>
      <c r="Y51" s="221">
        <v>-65041</v>
      </c>
      <c r="Z51" s="221">
        <v>-65041</v>
      </c>
      <c r="AA51" s="221">
        <v>-65041</v>
      </c>
      <c r="AB51" s="221">
        <v>-65041</v>
      </c>
      <c r="AC51" s="221">
        <v>-65041</v>
      </c>
      <c r="AD51" s="221">
        <v>-65041</v>
      </c>
      <c r="AE51" s="221">
        <v>-65041</v>
      </c>
      <c r="AF51" s="218">
        <v>-195123</v>
      </c>
      <c r="AG51" s="180"/>
      <c r="AH51" s="202">
        <v>-87843.39</v>
      </c>
      <c r="AI51" s="203">
        <v>-87898.43</v>
      </c>
      <c r="AJ51" s="203">
        <v>-90007.21</v>
      </c>
      <c r="AK51" s="203">
        <v>-83065.789999999994</v>
      </c>
      <c r="AL51" s="203">
        <v>-83572.350000000006</v>
      </c>
      <c r="AM51" s="216">
        <v>-84375.21</v>
      </c>
      <c r="AN51" s="203">
        <v>-77045.3</v>
      </c>
      <c r="AO51" s="216">
        <v>-79453.7</v>
      </c>
      <c r="AP51" s="216">
        <v>-77928.73</v>
      </c>
      <c r="AQ51" s="203">
        <v>-75173.740000000005</v>
      </c>
      <c r="AR51" s="203">
        <v>-76562.850000000006</v>
      </c>
      <c r="AS51" s="203">
        <v>-78335.009999999995</v>
      </c>
      <c r="AT51" s="205">
        <v>-981261.71</v>
      </c>
      <c r="AU51" s="180"/>
      <c r="AV51" s="180"/>
    </row>
    <row r="52" spans="1:48" ht="13.5" hidden="1" customHeight="1">
      <c r="A52" s="178">
        <v>510200</v>
      </c>
      <c r="B52" s="178">
        <v>51001200</v>
      </c>
      <c r="D52" s="201" t="s">
        <v>447</v>
      </c>
      <c r="E52" s="180" t="s">
        <v>370</v>
      </c>
      <c r="F52" s="202"/>
      <c r="G52" s="203"/>
      <c r="H52" s="203"/>
      <c r="I52" s="203"/>
      <c r="J52" s="203"/>
      <c r="K52" s="216"/>
      <c r="L52" s="203"/>
      <c r="M52" s="216"/>
      <c r="N52" s="216"/>
      <c r="O52" s="203"/>
      <c r="P52" s="203"/>
      <c r="Q52" s="203"/>
      <c r="R52" s="205">
        <v>0</v>
      </c>
      <c r="S52" s="180"/>
      <c r="T52" s="220">
        <v>0</v>
      </c>
      <c r="U52" s="221">
        <v>0</v>
      </c>
      <c r="V52" s="221">
        <v>0</v>
      </c>
      <c r="W52" s="221">
        <v>0</v>
      </c>
      <c r="X52" s="221">
        <v>0</v>
      </c>
      <c r="Y52" s="221">
        <v>0</v>
      </c>
      <c r="Z52" s="221">
        <v>0</v>
      </c>
      <c r="AA52" s="221">
        <v>0</v>
      </c>
      <c r="AB52" s="221">
        <v>0</v>
      </c>
      <c r="AC52" s="221">
        <v>0</v>
      </c>
      <c r="AD52" s="221">
        <v>0</v>
      </c>
      <c r="AE52" s="221">
        <v>0</v>
      </c>
      <c r="AF52" s="218">
        <v>0</v>
      </c>
      <c r="AG52" s="180"/>
      <c r="AH52" s="202"/>
      <c r="AI52" s="203"/>
      <c r="AJ52" s="203">
        <v>-250</v>
      </c>
      <c r="AK52" s="203"/>
      <c r="AL52" s="203"/>
      <c r="AM52" s="216"/>
      <c r="AN52" s="203">
        <v>-7000</v>
      </c>
      <c r="AO52" s="216"/>
      <c r="AP52" s="216"/>
      <c r="AQ52" s="203"/>
      <c r="AR52" s="203"/>
      <c r="AS52" s="203"/>
      <c r="AT52" s="205">
        <v>-7250</v>
      </c>
      <c r="AU52" s="180"/>
      <c r="AV52" s="180"/>
    </row>
    <row r="53" spans="1:48" ht="13.5" hidden="1" customHeight="1">
      <c r="A53" s="178">
        <v>510210</v>
      </c>
      <c r="B53" s="178">
        <v>51001210</v>
      </c>
      <c r="D53" s="201" t="s">
        <v>448</v>
      </c>
      <c r="E53" s="180" t="s">
        <v>370</v>
      </c>
      <c r="F53" s="202">
        <v>-15204.48</v>
      </c>
      <c r="G53" s="203"/>
      <c r="H53" s="203"/>
      <c r="I53" s="203"/>
      <c r="J53" s="203"/>
      <c r="K53" s="216"/>
      <c r="L53" s="203"/>
      <c r="M53" s="216"/>
      <c r="N53" s="216"/>
      <c r="O53" s="203"/>
      <c r="P53" s="203"/>
      <c r="Q53" s="203"/>
      <c r="R53" s="205">
        <v>-15204.48</v>
      </c>
      <c r="S53" s="180"/>
      <c r="T53" s="220">
        <v>0</v>
      </c>
      <c r="U53" s="221">
        <v>0</v>
      </c>
      <c r="V53" s="221">
        <v>0</v>
      </c>
      <c r="W53" s="221">
        <v>0</v>
      </c>
      <c r="X53" s="221">
        <v>0</v>
      </c>
      <c r="Y53" s="221">
        <v>0</v>
      </c>
      <c r="Z53" s="221">
        <v>0</v>
      </c>
      <c r="AA53" s="221">
        <v>0</v>
      </c>
      <c r="AB53" s="221">
        <v>0</v>
      </c>
      <c r="AC53" s="221">
        <v>0</v>
      </c>
      <c r="AD53" s="221">
        <v>0</v>
      </c>
      <c r="AE53" s="221">
        <v>0</v>
      </c>
      <c r="AF53" s="218">
        <v>0</v>
      </c>
      <c r="AG53" s="180"/>
      <c r="AH53" s="202"/>
      <c r="AI53" s="203"/>
      <c r="AJ53" s="203"/>
      <c r="AK53" s="203"/>
      <c r="AL53" s="203"/>
      <c r="AM53" s="216"/>
      <c r="AN53" s="203"/>
      <c r="AO53" s="253">
        <v>-42120</v>
      </c>
      <c r="AP53" s="216"/>
      <c r="AQ53" s="203"/>
      <c r="AR53" s="203"/>
      <c r="AS53" s="203"/>
      <c r="AT53" s="205">
        <v>-42120</v>
      </c>
      <c r="AU53" s="180"/>
      <c r="AV53" s="180"/>
    </row>
    <row r="54" spans="1:48" ht="13.5" hidden="1" customHeight="1">
      <c r="A54" s="178">
        <v>510220</v>
      </c>
      <c r="B54" s="178">
        <v>51001220</v>
      </c>
      <c r="D54" s="201" t="s">
        <v>449</v>
      </c>
      <c r="E54" s="180" t="s">
        <v>370</v>
      </c>
      <c r="F54" s="202">
        <v>-133323</v>
      </c>
      <c r="G54" s="203">
        <v>-68882</v>
      </c>
      <c r="H54" s="203">
        <v>-80262</v>
      </c>
      <c r="I54" s="203"/>
      <c r="J54" s="203"/>
      <c r="K54" s="216"/>
      <c r="L54" s="203"/>
      <c r="M54" s="216"/>
      <c r="N54" s="216"/>
      <c r="O54" s="203"/>
      <c r="P54" s="203"/>
      <c r="Q54" s="203"/>
      <c r="R54" s="205">
        <v>-282467</v>
      </c>
      <c r="S54" s="180"/>
      <c r="T54" s="220">
        <v>-58521.347916666702</v>
      </c>
      <c r="U54" s="221">
        <v>-58521.347916666702</v>
      </c>
      <c r="V54" s="221">
        <v>-58521.347916666702</v>
      </c>
      <c r="W54" s="221">
        <v>-58521.347916666702</v>
      </c>
      <c r="X54" s="221">
        <v>-58521.347916666702</v>
      </c>
      <c r="Y54" s="221">
        <v>-58521.347916666702</v>
      </c>
      <c r="Z54" s="221">
        <v>-58521.347916666702</v>
      </c>
      <c r="AA54" s="221">
        <v>-58521.347916666702</v>
      </c>
      <c r="AB54" s="221">
        <v>-58521.347916666702</v>
      </c>
      <c r="AC54" s="221">
        <v>-58521.347916666702</v>
      </c>
      <c r="AD54" s="221">
        <v>-58521.347916666702</v>
      </c>
      <c r="AE54" s="221">
        <v>-58521.347916666702</v>
      </c>
      <c r="AF54" s="218">
        <v>-175564.04375000001</v>
      </c>
      <c r="AG54" s="180"/>
      <c r="AH54" s="202">
        <v>-60924</v>
      </c>
      <c r="AI54" s="203">
        <v>-70883</v>
      </c>
      <c r="AJ54" s="203">
        <v>-117657</v>
      </c>
      <c r="AK54" s="203">
        <v>-73577</v>
      </c>
      <c r="AL54" s="203">
        <v>-111359</v>
      </c>
      <c r="AM54" s="216">
        <v>-66974</v>
      </c>
      <c r="AN54" s="203">
        <v>-71516</v>
      </c>
      <c r="AO54" s="253">
        <v>-82221</v>
      </c>
      <c r="AP54" s="216">
        <v>-68298</v>
      </c>
      <c r="AQ54" s="203">
        <v>-75401</v>
      </c>
      <c r="AR54" s="203">
        <v>-70805</v>
      </c>
      <c r="AS54" s="203">
        <v>3081</v>
      </c>
      <c r="AT54" s="205">
        <v>-866534</v>
      </c>
      <c r="AU54" s="180"/>
      <c r="AV54" s="180"/>
    </row>
    <row r="55" spans="1:48" ht="13.5" hidden="1" customHeight="1">
      <c r="A55" s="178">
        <v>510230</v>
      </c>
      <c r="B55" s="178">
        <v>51001230</v>
      </c>
      <c r="D55" s="201" t="s">
        <v>450</v>
      </c>
      <c r="E55" s="180" t="s">
        <v>370</v>
      </c>
      <c r="F55" s="202">
        <v>-7354.19</v>
      </c>
      <c r="G55" s="203">
        <v>-7354.17</v>
      </c>
      <c r="H55" s="203">
        <v>-7354.17</v>
      </c>
      <c r="I55" s="203"/>
      <c r="J55" s="203"/>
      <c r="K55" s="216"/>
      <c r="L55" s="203"/>
      <c r="M55" s="216"/>
      <c r="N55" s="216"/>
      <c r="O55" s="203"/>
      <c r="P55" s="203"/>
      <c r="Q55" s="203"/>
      <c r="R55" s="205">
        <v>-22062.53</v>
      </c>
      <c r="S55" s="180"/>
      <c r="T55" s="220">
        <v>0</v>
      </c>
      <c r="U55" s="221">
        <v>0</v>
      </c>
      <c r="V55" s="221">
        <v>0</v>
      </c>
      <c r="W55" s="221">
        <v>0</v>
      </c>
      <c r="X55" s="221">
        <v>0</v>
      </c>
      <c r="Y55" s="221">
        <v>0</v>
      </c>
      <c r="Z55" s="221">
        <v>0</v>
      </c>
      <c r="AA55" s="221">
        <v>0</v>
      </c>
      <c r="AB55" s="221">
        <v>0</v>
      </c>
      <c r="AC55" s="221">
        <v>0</v>
      </c>
      <c r="AD55" s="221">
        <v>0</v>
      </c>
      <c r="AE55" s="221">
        <v>0</v>
      </c>
      <c r="AF55" s="218">
        <v>0</v>
      </c>
      <c r="AG55" s="180"/>
      <c r="AH55" s="202">
        <v>-8251.67</v>
      </c>
      <c r="AI55" s="203">
        <v>-4366.67</v>
      </c>
      <c r="AJ55" s="203">
        <v>-8251.67</v>
      </c>
      <c r="AK55" s="203">
        <v>-8251.67</v>
      </c>
      <c r="AL55" s="203">
        <v>-8251.67</v>
      </c>
      <c r="AM55" s="216">
        <v>-8251.67</v>
      </c>
      <c r="AN55" s="203">
        <v>-8251.67</v>
      </c>
      <c r="AO55" s="216">
        <v>-6733.33</v>
      </c>
      <c r="AP55" s="216">
        <v>-5049.99</v>
      </c>
      <c r="AQ55" s="203">
        <v>-1599.99</v>
      </c>
      <c r="AR55" s="203">
        <v>-6774.99</v>
      </c>
      <c r="AS55" s="203">
        <v>-6774.99</v>
      </c>
      <c r="AT55" s="205">
        <v>-80809.98</v>
      </c>
      <c r="AU55" s="180"/>
      <c r="AV55" s="180"/>
    </row>
    <row r="56" spans="1:48" ht="13.5" hidden="1" customHeight="1">
      <c r="A56" s="178">
        <v>510240</v>
      </c>
      <c r="B56" s="178">
        <v>51001240</v>
      </c>
      <c r="D56" s="201" t="s">
        <v>451</v>
      </c>
      <c r="E56" s="180" t="s">
        <v>370</v>
      </c>
      <c r="F56" s="202">
        <v>-600</v>
      </c>
      <c r="G56" s="203">
        <v>-600</v>
      </c>
      <c r="H56" s="203">
        <v>-2600</v>
      </c>
      <c r="I56" s="203"/>
      <c r="J56" s="203"/>
      <c r="K56" s="216"/>
      <c r="L56" s="203"/>
      <c r="M56" s="216"/>
      <c r="N56" s="216"/>
      <c r="O56" s="203"/>
      <c r="P56" s="203"/>
      <c r="Q56" s="203"/>
      <c r="R56" s="205">
        <v>-3800</v>
      </c>
      <c r="S56" s="180"/>
      <c r="T56" s="220">
        <v>-24025</v>
      </c>
      <c r="U56" s="221">
        <v>-24025</v>
      </c>
      <c r="V56" s="221">
        <v>-24025</v>
      </c>
      <c r="W56" s="221">
        <v>-24025</v>
      </c>
      <c r="X56" s="221">
        <v>-24025</v>
      </c>
      <c r="Y56" s="221">
        <v>-24025</v>
      </c>
      <c r="Z56" s="221">
        <v>-24025</v>
      </c>
      <c r="AA56" s="221">
        <v>-24025</v>
      </c>
      <c r="AB56" s="221">
        <v>-24025</v>
      </c>
      <c r="AC56" s="221">
        <v>-24025</v>
      </c>
      <c r="AD56" s="221">
        <v>-24025</v>
      </c>
      <c r="AE56" s="221">
        <v>-24025</v>
      </c>
      <c r="AF56" s="218">
        <v>-72075</v>
      </c>
      <c r="AG56" s="180"/>
      <c r="AH56" s="202">
        <v>-1250</v>
      </c>
      <c r="AI56" s="203">
        <v>-1550</v>
      </c>
      <c r="AJ56" s="203">
        <v>-1250</v>
      </c>
      <c r="AK56" s="203">
        <v>-1350</v>
      </c>
      <c r="AL56" s="203">
        <v>-3467</v>
      </c>
      <c r="AM56" s="216">
        <v>-3200</v>
      </c>
      <c r="AN56" s="203">
        <v>-4900</v>
      </c>
      <c r="AO56" s="216">
        <v>-600</v>
      </c>
      <c r="AP56" s="216">
        <v>-1774</v>
      </c>
      <c r="AQ56" s="203">
        <v>-600</v>
      </c>
      <c r="AR56" s="203">
        <v>-600</v>
      </c>
      <c r="AS56" s="203">
        <v>-600</v>
      </c>
      <c r="AT56" s="205">
        <v>-21141</v>
      </c>
      <c r="AU56" s="180"/>
      <c r="AV56" s="180"/>
    </row>
    <row r="57" spans="1:48" ht="13.5" hidden="1" customHeight="1">
      <c r="A57" s="178">
        <v>510250</v>
      </c>
      <c r="B57" s="178"/>
      <c r="D57" s="201" t="s">
        <v>452</v>
      </c>
      <c r="E57" s="180" t="s">
        <v>370</v>
      </c>
      <c r="F57" s="202">
        <v>-9068</v>
      </c>
      <c r="G57" s="203">
        <v>-33818</v>
      </c>
      <c r="H57" s="203">
        <v>-6438</v>
      </c>
      <c r="I57" s="203"/>
      <c r="J57" s="203"/>
      <c r="K57" s="216"/>
      <c r="L57" s="203"/>
      <c r="M57" s="216"/>
      <c r="N57" s="216"/>
      <c r="O57" s="203"/>
      <c r="P57" s="203"/>
      <c r="Q57" s="203"/>
      <c r="R57" s="205">
        <v>-49324</v>
      </c>
      <c r="S57" s="180"/>
      <c r="T57" s="220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18">
        <v>0</v>
      </c>
      <c r="AG57" s="180"/>
      <c r="AH57" s="202"/>
      <c r="AI57" s="203"/>
      <c r="AJ57" s="203">
        <v>-11472</v>
      </c>
      <c r="AK57" s="203"/>
      <c r="AL57" s="203">
        <v>-3487</v>
      </c>
      <c r="AM57" s="216"/>
      <c r="AN57" s="203">
        <v>-12742</v>
      </c>
      <c r="AO57" s="216">
        <v>-3808</v>
      </c>
      <c r="AP57" s="216">
        <v>-4883</v>
      </c>
      <c r="AQ57" s="203">
        <v>-4030</v>
      </c>
      <c r="AR57" s="203">
        <v>-9074</v>
      </c>
      <c r="AS57" s="203">
        <v>-1575</v>
      </c>
      <c r="AT57" s="205">
        <v>-51071</v>
      </c>
      <c r="AU57" s="180"/>
      <c r="AV57" s="180"/>
    </row>
    <row r="58" spans="1:48" ht="13.5" hidden="1" customHeight="1">
      <c r="A58" s="178">
        <v>510260</v>
      </c>
      <c r="B58" s="178">
        <v>51001260</v>
      </c>
      <c r="D58" s="201" t="s">
        <v>453</v>
      </c>
      <c r="E58" s="180" t="s">
        <v>370</v>
      </c>
      <c r="F58" s="202">
        <v>-199450</v>
      </c>
      <c r="G58" s="203">
        <v>-204785</v>
      </c>
      <c r="H58" s="203">
        <v>-201175</v>
      </c>
      <c r="I58" s="203"/>
      <c r="J58" s="203"/>
      <c r="K58" s="216"/>
      <c r="L58" s="203"/>
      <c r="M58" s="216"/>
      <c r="N58" s="216"/>
      <c r="O58" s="203"/>
      <c r="P58" s="203"/>
      <c r="Q58" s="203"/>
      <c r="R58" s="205">
        <v>-605410</v>
      </c>
      <c r="S58" s="180"/>
      <c r="T58" s="220">
        <v>-219183.33333333299</v>
      </c>
      <c r="U58" s="221">
        <v>-219183.33333333299</v>
      </c>
      <c r="V58" s="221">
        <v>-219183.33333333299</v>
      </c>
      <c r="W58" s="221">
        <v>-219183.33333333299</v>
      </c>
      <c r="X58" s="221">
        <v>-219183.33333333299</v>
      </c>
      <c r="Y58" s="221">
        <v>-219183.33333333299</v>
      </c>
      <c r="Z58" s="221">
        <v>-219183.33333333299</v>
      </c>
      <c r="AA58" s="221">
        <v>-219183.33333333299</v>
      </c>
      <c r="AB58" s="221">
        <v>-219183.33333333299</v>
      </c>
      <c r="AC58" s="221">
        <v>-219183.33333333299</v>
      </c>
      <c r="AD58" s="221">
        <v>-219183.33333333299</v>
      </c>
      <c r="AE58" s="221">
        <v>-219183.33333333299</v>
      </c>
      <c r="AF58" s="218">
        <v>-657550</v>
      </c>
      <c r="AG58" s="180"/>
      <c r="AH58" s="202">
        <v>-220875</v>
      </c>
      <c r="AI58" s="203">
        <v>-224075</v>
      </c>
      <c r="AJ58" s="203">
        <v>-220212.5</v>
      </c>
      <c r="AK58" s="203">
        <v>-222162.5</v>
      </c>
      <c r="AL58" s="203">
        <v>-218550</v>
      </c>
      <c r="AM58" s="216">
        <v>-217550</v>
      </c>
      <c r="AN58" s="203">
        <v>-218785</v>
      </c>
      <c r="AO58" s="216">
        <v>-214882.5</v>
      </c>
      <c r="AP58" s="216">
        <v>-214672.5</v>
      </c>
      <c r="AQ58" s="203">
        <v>-221122.5</v>
      </c>
      <c r="AR58" s="203">
        <v>-204410</v>
      </c>
      <c r="AS58" s="203">
        <v>-205567.5</v>
      </c>
      <c r="AT58" s="205">
        <v>-2602865</v>
      </c>
      <c r="AU58" s="180"/>
      <c r="AV58" s="180"/>
    </row>
    <row r="59" spans="1:48" ht="13.5" hidden="1" customHeight="1">
      <c r="A59" s="254">
        <v>510270</v>
      </c>
      <c r="B59" s="254">
        <v>51001270</v>
      </c>
      <c r="D59" s="185" t="s">
        <v>454</v>
      </c>
      <c r="E59" s="180" t="s">
        <v>370</v>
      </c>
      <c r="F59" s="186">
        <v>16446</v>
      </c>
      <c r="G59" s="187">
        <v>8169</v>
      </c>
      <c r="H59" s="187">
        <v>19627</v>
      </c>
      <c r="I59" s="187"/>
      <c r="J59" s="187"/>
      <c r="K59" s="216"/>
      <c r="L59" s="187"/>
      <c r="M59" s="216"/>
      <c r="N59" s="216"/>
      <c r="O59" s="187"/>
      <c r="P59" s="187"/>
      <c r="Q59" s="187"/>
      <c r="R59" s="189">
        <v>44242</v>
      </c>
      <c r="S59" s="180"/>
      <c r="T59" s="220">
        <v>3468.7550000000001</v>
      </c>
      <c r="U59" s="221">
        <v>3468.7550000000001</v>
      </c>
      <c r="V59" s="221">
        <v>3468.7550000000001</v>
      </c>
      <c r="W59" s="221">
        <v>16764.462142857101</v>
      </c>
      <c r="X59" s="221">
        <v>16764.462142857101</v>
      </c>
      <c r="Y59" s="221">
        <v>16764.462142857101</v>
      </c>
      <c r="Z59" s="221">
        <v>138346.56822504901</v>
      </c>
      <c r="AA59" s="221">
        <v>149641.181320287</v>
      </c>
      <c r="AB59" s="221">
        <v>149641.181320287</v>
      </c>
      <c r="AC59" s="221">
        <v>149641.181320287</v>
      </c>
      <c r="AD59" s="221">
        <v>149641.181320287</v>
      </c>
      <c r="AE59" s="221">
        <v>149641.181320287</v>
      </c>
      <c r="AF59" s="218">
        <v>10406.264999999999</v>
      </c>
      <c r="AG59" s="180"/>
      <c r="AH59" s="186">
        <v>20673</v>
      </c>
      <c r="AI59" s="187">
        <v>11616</v>
      </c>
      <c r="AJ59" s="187">
        <v>10780</v>
      </c>
      <c r="AK59" s="187">
        <v>12955</v>
      </c>
      <c r="AL59" s="187">
        <v>16423</v>
      </c>
      <c r="AM59" s="216">
        <v>12923</v>
      </c>
      <c r="AN59" s="187">
        <v>19475</v>
      </c>
      <c r="AO59" s="216">
        <v>7219</v>
      </c>
      <c r="AP59" s="216">
        <v>17263</v>
      </c>
      <c r="AQ59" s="187">
        <v>24816</v>
      </c>
      <c r="AR59" s="187">
        <v>2156</v>
      </c>
      <c r="AS59" s="187">
        <v>15073</v>
      </c>
      <c r="AT59" s="189">
        <v>171372</v>
      </c>
      <c r="AU59" s="180"/>
      <c r="AV59" s="180"/>
    </row>
    <row r="60" spans="1:48" ht="13.5" hidden="1" customHeight="1">
      <c r="A60" s="227"/>
      <c r="B60" s="227"/>
      <c r="D60" s="228" t="s">
        <v>455</v>
      </c>
      <c r="E60" s="229" t="s">
        <v>370</v>
      </c>
      <c r="F60" s="230">
        <v>-1741146.28</v>
      </c>
      <c r="G60" s="231">
        <v>-1601883.82</v>
      </c>
      <c r="H60" s="231">
        <v>-1557958.86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4">
        <v>-4900988.96</v>
      </c>
      <c r="S60" s="229"/>
      <c r="T60" s="230">
        <v>-1706268.4569261901</v>
      </c>
      <c r="U60" s="231">
        <v>-1706268.4569261901</v>
      </c>
      <c r="V60" s="231">
        <v>-1806268.4569261901</v>
      </c>
      <c r="W60" s="231">
        <v>-1692972.7497833299</v>
      </c>
      <c r="X60" s="231">
        <v>-1692972.7497833299</v>
      </c>
      <c r="Y60" s="231">
        <v>-1692972.7497833299</v>
      </c>
      <c r="Z60" s="231">
        <v>-1571390.6437011401</v>
      </c>
      <c r="AA60" s="231">
        <v>-1560096.0306059001</v>
      </c>
      <c r="AB60" s="231">
        <v>-1560096.0306059001</v>
      </c>
      <c r="AC60" s="231">
        <v>-1560096.0306059001</v>
      </c>
      <c r="AD60" s="231">
        <v>-1560096.0306059001</v>
      </c>
      <c r="AE60" s="231">
        <v>-1560096.0306059001</v>
      </c>
      <c r="AF60" s="232">
        <v>-5218805.37077857</v>
      </c>
      <c r="AG60" s="229"/>
      <c r="AH60" s="230">
        <v>-1757238.7</v>
      </c>
      <c r="AI60" s="231">
        <v>-1770927.85</v>
      </c>
      <c r="AJ60" s="231">
        <v>-1859768.62</v>
      </c>
      <c r="AK60" s="231">
        <v>-1833146.31</v>
      </c>
      <c r="AL60" s="231">
        <v>-1812033.66</v>
      </c>
      <c r="AM60" s="231">
        <v>-1770803.27</v>
      </c>
      <c r="AN60" s="231">
        <v>-1819306.53</v>
      </c>
      <c r="AO60" s="231">
        <v>-1822709.55</v>
      </c>
      <c r="AP60" s="231">
        <v>-1684970.68</v>
      </c>
      <c r="AQ60" s="231">
        <v>-1704601.45</v>
      </c>
      <c r="AR60" s="231">
        <v>-1710746.2</v>
      </c>
      <c r="AS60" s="231">
        <v>-1457283.48</v>
      </c>
      <c r="AT60" s="234">
        <v>-21003536.300000001</v>
      </c>
      <c r="AU60" s="229"/>
      <c r="AV60" s="229"/>
    </row>
    <row r="61" spans="1:48" ht="13.5" hidden="1" customHeight="1">
      <c r="A61" s="255">
        <v>510110</v>
      </c>
      <c r="B61" s="255">
        <v>51001110</v>
      </c>
      <c r="D61" s="249" t="s">
        <v>456</v>
      </c>
      <c r="E61" s="180" t="s">
        <v>370</v>
      </c>
      <c r="F61" s="250">
        <v>-22754</v>
      </c>
      <c r="G61" s="216">
        <v>-39093</v>
      </c>
      <c r="H61" s="216">
        <v>-39093</v>
      </c>
      <c r="I61" s="216"/>
      <c r="J61" s="216"/>
      <c r="K61" s="216"/>
      <c r="L61" s="216"/>
      <c r="M61" s="216"/>
      <c r="N61" s="216"/>
      <c r="O61" s="216"/>
      <c r="P61" s="216"/>
      <c r="Q61" s="216"/>
      <c r="R61" s="218">
        <v>-100940</v>
      </c>
      <c r="S61" s="180"/>
      <c r="T61" s="220">
        <v>-30946</v>
      </c>
      <c r="U61" s="221">
        <v>-30946</v>
      </c>
      <c r="V61" s="221">
        <v>-30946</v>
      </c>
      <c r="W61" s="221">
        <v>-30946</v>
      </c>
      <c r="X61" s="221">
        <v>-30946</v>
      </c>
      <c r="Y61" s="221">
        <v>-30946</v>
      </c>
      <c r="Z61" s="221">
        <v>-30946</v>
      </c>
      <c r="AA61" s="221">
        <v>-30946</v>
      </c>
      <c r="AB61" s="221">
        <v>-30946</v>
      </c>
      <c r="AC61" s="221">
        <v>-30946</v>
      </c>
      <c r="AD61" s="221">
        <v>-30946</v>
      </c>
      <c r="AE61" s="221">
        <v>-30946</v>
      </c>
      <c r="AF61" s="218">
        <v>-92838</v>
      </c>
      <c r="AG61" s="180"/>
      <c r="AH61" s="250">
        <v>-108361</v>
      </c>
      <c r="AI61" s="216">
        <v>-98335</v>
      </c>
      <c r="AJ61" s="216">
        <v>-122803</v>
      </c>
      <c r="AK61" s="216">
        <v>-91148</v>
      </c>
      <c r="AL61" s="216">
        <v>-94441</v>
      </c>
      <c r="AM61" s="216">
        <v>-86448</v>
      </c>
      <c r="AN61" s="216">
        <v>-84771</v>
      </c>
      <c r="AO61" s="216">
        <v>-76052</v>
      </c>
      <c r="AP61" s="216">
        <v>-75038</v>
      </c>
      <c r="AQ61" s="216">
        <v>-66513</v>
      </c>
      <c r="AR61" s="216">
        <v>-71713</v>
      </c>
      <c r="AS61" s="216">
        <v>-59222</v>
      </c>
      <c r="AT61" s="218">
        <v>-1034845</v>
      </c>
      <c r="AU61" s="180"/>
      <c r="AV61" s="180"/>
    </row>
    <row r="62" spans="1:48" ht="13.5" hidden="1" customHeight="1">
      <c r="A62" s="178">
        <v>510120</v>
      </c>
      <c r="B62" s="178">
        <v>51001150</v>
      </c>
      <c r="D62" s="201" t="s">
        <v>457</v>
      </c>
      <c r="E62" s="180" t="s">
        <v>370</v>
      </c>
      <c r="F62" s="202">
        <v>-1500</v>
      </c>
      <c r="G62" s="203">
        <v>-4278</v>
      </c>
      <c r="H62" s="203">
        <v>-4278</v>
      </c>
      <c r="I62" s="203"/>
      <c r="J62" s="203"/>
      <c r="K62" s="216"/>
      <c r="L62" s="203"/>
      <c r="M62" s="216"/>
      <c r="N62" s="216"/>
      <c r="O62" s="203"/>
      <c r="P62" s="203"/>
      <c r="Q62" s="203"/>
      <c r="R62" s="205">
        <v>-10056</v>
      </c>
      <c r="S62" s="180"/>
      <c r="T62" s="220">
        <v>-4277.75</v>
      </c>
      <c r="U62" s="221">
        <v>-4277.75</v>
      </c>
      <c r="V62" s="221">
        <v>-4277.75</v>
      </c>
      <c r="W62" s="221">
        <v>-4277.75</v>
      </c>
      <c r="X62" s="221">
        <v>-4277.75</v>
      </c>
      <c r="Y62" s="221">
        <v>-4277.75</v>
      </c>
      <c r="Z62" s="221">
        <v>-4277.75</v>
      </c>
      <c r="AA62" s="221">
        <v>-4277.75</v>
      </c>
      <c r="AB62" s="221">
        <v>-4277.75</v>
      </c>
      <c r="AC62" s="221">
        <v>-4277.75</v>
      </c>
      <c r="AD62" s="221">
        <v>-4277.75</v>
      </c>
      <c r="AE62" s="221">
        <v>-4277.75</v>
      </c>
      <c r="AF62" s="218">
        <v>-12833.25</v>
      </c>
      <c r="AG62" s="180"/>
      <c r="AH62" s="202">
        <v>-8218</v>
      </c>
      <c r="AI62" s="203">
        <v>-5829</v>
      </c>
      <c r="AJ62" s="203">
        <v>-6884</v>
      </c>
      <c r="AK62" s="203">
        <v>-5829</v>
      </c>
      <c r="AL62" s="203">
        <v>-5829</v>
      </c>
      <c r="AM62" s="216">
        <v>-5829</v>
      </c>
      <c r="AN62" s="203">
        <v>-5829</v>
      </c>
      <c r="AO62" s="216">
        <v>-7051</v>
      </c>
      <c r="AP62" s="216">
        <v>-8701</v>
      </c>
      <c r="AQ62" s="203">
        <v>-8701</v>
      </c>
      <c r="AR62" s="203">
        <v>-8701</v>
      </c>
      <c r="AS62" s="203">
        <v>-7410</v>
      </c>
      <c r="AT62" s="205">
        <v>-84811</v>
      </c>
      <c r="AU62" s="180"/>
      <c r="AV62" s="180"/>
    </row>
    <row r="63" spans="1:48" ht="13.5" hidden="1" customHeight="1">
      <c r="A63" s="178">
        <v>510130</v>
      </c>
      <c r="B63" s="178">
        <v>51001140</v>
      </c>
      <c r="D63" s="201" t="s">
        <v>458</v>
      </c>
      <c r="E63" s="180" t="s">
        <v>370</v>
      </c>
      <c r="F63" s="202">
        <v>-600</v>
      </c>
      <c r="G63" s="203">
        <v>-1711</v>
      </c>
      <c r="H63" s="203">
        <v>-1711</v>
      </c>
      <c r="I63" s="203"/>
      <c r="J63" s="203"/>
      <c r="K63" s="216"/>
      <c r="L63" s="203"/>
      <c r="M63" s="216"/>
      <c r="N63" s="216"/>
      <c r="O63" s="203"/>
      <c r="P63" s="203"/>
      <c r="Q63" s="203"/>
      <c r="R63" s="205">
        <v>-4022</v>
      </c>
      <c r="S63" s="180"/>
      <c r="T63" s="220">
        <v>-1711.1</v>
      </c>
      <c r="U63" s="221">
        <v>-1711.1</v>
      </c>
      <c r="V63" s="221">
        <v>-1711.1</v>
      </c>
      <c r="W63" s="221">
        <v>-1711.1</v>
      </c>
      <c r="X63" s="221">
        <v>-1711.1</v>
      </c>
      <c r="Y63" s="221">
        <v>-1711.1</v>
      </c>
      <c r="Z63" s="221">
        <v>-1711.1</v>
      </c>
      <c r="AA63" s="221">
        <v>-1711.1</v>
      </c>
      <c r="AB63" s="221">
        <v>-1711.1</v>
      </c>
      <c r="AC63" s="221">
        <v>-1711.1</v>
      </c>
      <c r="AD63" s="221">
        <v>-1711.1</v>
      </c>
      <c r="AE63" s="221">
        <v>-1711.1</v>
      </c>
      <c r="AF63" s="218">
        <v>-5133.3</v>
      </c>
      <c r="AG63" s="180"/>
      <c r="AH63" s="202">
        <v>-3316</v>
      </c>
      <c r="AI63" s="203">
        <v>-2360</v>
      </c>
      <c r="AJ63" s="203">
        <v>-2782</v>
      </c>
      <c r="AK63" s="203">
        <v>-2360</v>
      </c>
      <c r="AL63" s="203">
        <v>-2360</v>
      </c>
      <c r="AM63" s="216">
        <v>-2360</v>
      </c>
      <c r="AN63" s="203">
        <v>-2360</v>
      </c>
      <c r="AO63" s="216">
        <v>-2849</v>
      </c>
      <c r="AP63" s="216">
        <v>-3839</v>
      </c>
      <c r="AQ63" s="203">
        <v>-3839</v>
      </c>
      <c r="AR63" s="203">
        <v>-3839</v>
      </c>
      <c r="AS63" s="203">
        <v>-3293</v>
      </c>
      <c r="AT63" s="205">
        <v>-35557</v>
      </c>
      <c r="AU63" s="180"/>
      <c r="AV63" s="180"/>
    </row>
    <row r="64" spans="1:48" ht="13.5" hidden="1" customHeight="1">
      <c r="A64" s="178">
        <v>510140</v>
      </c>
      <c r="B64" s="178">
        <v>51001130</v>
      </c>
      <c r="D64" s="201" t="s">
        <v>459</v>
      </c>
      <c r="E64" s="180" t="s">
        <v>370</v>
      </c>
      <c r="F64" s="202">
        <v>-2900</v>
      </c>
      <c r="G64" s="203">
        <v>-3700</v>
      </c>
      <c r="H64" s="203">
        <v>-3700</v>
      </c>
      <c r="I64" s="203"/>
      <c r="J64" s="203"/>
      <c r="K64" s="216"/>
      <c r="L64" s="203"/>
      <c r="M64" s="216"/>
      <c r="N64" s="216"/>
      <c r="O64" s="203"/>
      <c r="P64" s="203"/>
      <c r="Q64" s="203"/>
      <c r="R64" s="205">
        <v>-10300</v>
      </c>
      <c r="S64" s="180"/>
      <c r="T64" s="220">
        <v>-2400</v>
      </c>
      <c r="U64" s="221">
        <v>-2400</v>
      </c>
      <c r="V64" s="221">
        <v>-2400</v>
      </c>
      <c r="W64" s="221">
        <v>-2400</v>
      </c>
      <c r="X64" s="221">
        <v>-2400</v>
      </c>
      <c r="Y64" s="221">
        <v>-2400</v>
      </c>
      <c r="Z64" s="221">
        <v>-2400</v>
      </c>
      <c r="AA64" s="221">
        <v>-2400</v>
      </c>
      <c r="AB64" s="221">
        <v>-2400</v>
      </c>
      <c r="AC64" s="221">
        <v>-2400</v>
      </c>
      <c r="AD64" s="221">
        <v>-2400</v>
      </c>
      <c r="AE64" s="221">
        <v>-2400</v>
      </c>
      <c r="AF64" s="218">
        <v>-7200</v>
      </c>
      <c r="AG64" s="180"/>
      <c r="AH64" s="202">
        <v>-9800</v>
      </c>
      <c r="AI64" s="203">
        <v>-9900</v>
      </c>
      <c r="AJ64" s="203">
        <v>-9700</v>
      </c>
      <c r="AK64" s="203">
        <v>-9665</v>
      </c>
      <c r="AL64" s="203">
        <v>-14200</v>
      </c>
      <c r="AM64" s="216">
        <v>-13042</v>
      </c>
      <c r="AN64" s="203">
        <v>-12435</v>
      </c>
      <c r="AO64" s="216">
        <v>-9200</v>
      </c>
      <c r="AP64" s="216">
        <v>-6557</v>
      </c>
      <c r="AQ64" s="203">
        <v>-5700</v>
      </c>
      <c r="AR64" s="203">
        <v>-6100</v>
      </c>
      <c r="AS64" s="203">
        <v>-5700</v>
      </c>
      <c r="AT64" s="205">
        <v>-111999</v>
      </c>
      <c r="AU64" s="180"/>
      <c r="AV64" s="180"/>
    </row>
    <row r="65" spans="1:48" ht="13.5" hidden="1" customHeight="1">
      <c r="A65" s="178">
        <v>510150</v>
      </c>
      <c r="B65" s="178">
        <v>51001120</v>
      </c>
      <c r="D65" s="201" t="s">
        <v>460</v>
      </c>
      <c r="E65" s="180" t="s">
        <v>370</v>
      </c>
      <c r="F65" s="202">
        <v>-7658</v>
      </c>
      <c r="G65" s="203">
        <v>-10512</v>
      </c>
      <c r="H65" s="203">
        <v>-5594</v>
      </c>
      <c r="I65" s="203"/>
      <c r="J65" s="203"/>
      <c r="K65" s="216"/>
      <c r="L65" s="203"/>
      <c r="M65" s="216"/>
      <c r="N65" s="216"/>
      <c r="O65" s="203"/>
      <c r="P65" s="203"/>
      <c r="Q65" s="203"/>
      <c r="R65" s="205">
        <v>-23764</v>
      </c>
      <c r="S65" s="180"/>
      <c r="T65" s="220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18">
        <v>0</v>
      </c>
      <c r="AG65" s="180"/>
      <c r="AH65" s="202">
        <v>-46597</v>
      </c>
      <c r="AI65" s="203">
        <v>-49277</v>
      </c>
      <c r="AJ65" s="203">
        <v>-37310</v>
      </c>
      <c r="AK65" s="203">
        <v>-35008</v>
      </c>
      <c r="AL65" s="203">
        <v>-33520</v>
      </c>
      <c r="AM65" s="216">
        <v>-16185</v>
      </c>
      <c r="AN65" s="203">
        <v>-14936</v>
      </c>
      <c r="AO65" s="251">
        <v>-468</v>
      </c>
      <c r="AP65" s="216">
        <v>-10390</v>
      </c>
      <c r="AQ65" s="203">
        <v>-3314</v>
      </c>
      <c r="AR65" s="203">
        <v>-6639</v>
      </c>
      <c r="AS65" s="203">
        <v>-4577.32</v>
      </c>
      <c r="AT65" s="205">
        <v>-258221.32</v>
      </c>
      <c r="AU65" s="180"/>
      <c r="AV65" s="180"/>
    </row>
    <row r="66" spans="1:48" ht="13.5" hidden="1" customHeight="1">
      <c r="A66" s="178">
        <v>510160</v>
      </c>
      <c r="B66" s="178">
        <v>51001160</v>
      </c>
      <c r="D66" s="201" t="s">
        <v>461</v>
      </c>
      <c r="E66" s="180" t="s">
        <v>370</v>
      </c>
      <c r="F66" s="202">
        <v>-2108.3000000000002</v>
      </c>
      <c r="G66" s="203">
        <v>-2108.3000000000002</v>
      </c>
      <c r="H66" s="203">
        <v>-2733.29</v>
      </c>
      <c r="I66" s="203"/>
      <c r="J66" s="203"/>
      <c r="K66" s="216"/>
      <c r="L66" s="203"/>
      <c r="M66" s="216"/>
      <c r="N66" s="216"/>
      <c r="O66" s="203"/>
      <c r="P66" s="203"/>
      <c r="Q66" s="203"/>
      <c r="R66" s="205">
        <v>-6949.89</v>
      </c>
      <c r="S66" s="180"/>
      <c r="T66" s="220">
        <v>-1483.31</v>
      </c>
      <c r="U66" s="221">
        <v>-1483.31</v>
      </c>
      <c r="V66" s="221">
        <v>-1483.31</v>
      </c>
      <c r="W66" s="221">
        <v>-1483.31</v>
      </c>
      <c r="X66" s="221">
        <v>-1483.31</v>
      </c>
      <c r="Y66" s="221">
        <v>-1483.31</v>
      </c>
      <c r="Z66" s="221">
        <v>-1483.31</v>
      </c>
      <c r="AA66" s="221">
        <v>-1483.31</v>
      </c>
      <c r="AB66" s="221">
        <v>-1483.31</v>
      </c>
      <c r="AC66" s="221">
        <v>-1483.31</v>
      </c>
      <c r="AD66" s="221">
        <v>-1483.31</v>
      </c>
      <c r="AE66" s="221">
        <v>-1483.31</v>
      </c>
      <c r="AF66" s="218">
        <v>-4449.93</v>
      </c>
      <c r="AG66" s="180"/>
      <c r="AH66" s="202">
        <v>-11874.84</v>
      </c>
      <c r="AI66" s="203">
        <v>-14141.78</v>
      </c>
      <c r="AJ66" s="203">
        <v>-10533.18</v>
      </c>
      <c r="AK66" s="203">
        <v>-10066.52</v>
      </c>
      <c r="AL66" s="203">
        <v>-9333.2000000000007</v>
      </c>
      <c r="AM66" s="216">
        <v>-9333.2000000000007</v>
      </c>
      <c r="AN66" s="203">
        <v>-6841.57</v>
      </c>
      <c r="AO66" s="216">
        <v>-6608.24</v>
      </c>
      <c r="AP66" s="216">
        <v>-4508.28</v>
      </c>
      <c r="AQ66" s="203">
        <v>-4508.28</v>
      </c>
      <c r="AR66" s="203">
        <v>-4366.6099999999997</v>
      </c>
      <c r="AS66" s="203">
        <v>53694.06</v>
      </c>
      <c r="AT66" s="205">
        <v>-38421.64</v>
      </c>
      <c r="AU66" s="180"/>
      <c r="AV66" s="180"/>
    </row>
    <row r="67" spans="1:48" ht="13.5" hidden="1" customHeight="1">
      <c r="A67" s="178">
        <v>510170</v>
      </c>
      <c r="B67" s="178">
        <v>51001170</v>
      </c>
      <c r="D67" s="201" t="s">
        <v>462</v>
      </c>
      <c r="E67" s="180" t="s">
        <v>370</v>
      </c>
      <c r="F67" s="202">
        <v>-3950.18</v>
      </c>
      <c r="G67" s="203">
        <v>-3950.18</v>
      </c>
      <c r="H67" s="203">
        <v>-5102.5200000000004</v>
      </c>
      <c r="I67" s="203"/>
      <c r="J67" s="203"/>
      <c r="K67" s="216"/>
      <c r="L67" s="203"/>
      <c r="M67" s="216"/>
      <c r="N67" s="216"/>
      <c r="O67" s="203"/>
      <c r="P67" s="203"/>
      <c r="Q67" s="203"/>
      <c r="R67" s="205">
        <v>-13002.88</v>
      </c>
      <c r="S67" s="180"/>
      <c r="T67" s="220">
        <v>-3277.9041666666699</v>
      </c>
      <c r="U67" s="221">
        <v>-3277.9041666666699</v>
      </c>
      <c r="V67" s="221">
        <v>-3277.9041666666699</v>
      </c>
      <c r="W67" s="221">
        <v>-3277.9041666666699</v>
      </c>
      <c r="X67" s="221">
        <v>-3277.9041666666699</v>
      </c>
      <c r="Y67" s="221">
        <v>-3277.9041666666699</v>
      </c>
      <c r="Z67" s="221">
        <v>-3277.9041666666699</v>
      </c>
      <c r="AA67" s="221">
        <v>-3277.9041666666699</v>
      </c>
      <c r="AB67" s="221">
        <v>-3277.9041666666699</v>
      </c>
      <c r="AC67" s="221">
        <v>-3277.9041666666699</v>
      </c>
      <c r="AD67" s="221">
        <v>-3277.9041666666699</v>
      </c>
      <c r="AE67" s="221">
        <v>-3277.9041666666699</v>
      </c>
      <c r="AF67" s="218">
        <v>-9833.7124999999996</v>
      </c>
      <c r="AG67" s="180"/>
      <c r="AH67" s="202">
        <v>-10372.17</v>
      </c>
      <c r="AI67" s="203">
        <v>-10174.040000000001</v>
      </c>
      <c r="AJ67" s="203">
        <v>-9297.17</v>
      </c>
      <c r="AK67" s="203">
        <v>-9099.08</v>
      </c>
      <c r="AL67" s="203">
        <v>-8993.35</v>
      </c>
      <c r="AM67" s="216">
        <v>-8993.35</v>
      </c>
      <c r="AN67" s="203">
        <v>-7633.63</v>
      </c>
      <c r="AO67" s="216">
        <v>-8106.13</v>
      </c>
      <c r="AP67" s="216">
        <v>-7002.24</v>
      </c>
      <c r="AQ67" s="203">
        <v>-7102.26</v>
      </c>
      <c r="AR67" s="203">
        <v>-6768.93</v>
      </c>
      <c r="AS67" s="203">
        <v>878.9</v>
      </c>
      <c r="AT67" s="205">
        <v>-92663.45</v>
      </c>
      <c r="AU67" s="180"/>
      <c r="AV67" s="180"/>
    </row>
    <row r="68" spans="1:48" ht="13.5" hidden="1" customHeight="1">
      <c r="A68" s="178">
        <v>510180</v>
      </c>
      <c r="B68" s="178">
        <v>51001180</v>
      </c>
      <c r="D68" s="201" t="s">
        <v>463</v>
      </c>
      <c r="E68" s="180" t="s">
        <v>370</v>
      </c>
      <c r="F68" s="202">
        <v>-1562</v>
      </c>
      <c r="G68" s="203">
        <v>-1600</v>
      </c>
      <c r="H68" s="203">
        <v>-9129.56</v>
      </c>
      <c r="I68" s="203"/>
      <c r="J68" s="203"/>
      <c r="K68" s="216"/>
      <c r="L68" s="203"/>
      <c r="M68" s="216"/>
      <c r="N68" s="216"/>
      <c r="O68" s="203"/>
      <c r="P68" s="203"/>
      <c r="Q68" s="203"/>
      <c r="R68" s="205">
        <v>-12291.56</v>
      </c>
      <c r="S68" s="180"/>
      <c r="T68" s="220">
        <v>-1454.4749999999999</v>
      </c>
      <c r="U68" s="221">
        <v>-1454.4749999999999</v>
      </c>
      <c r="V68" s="221">
        <v>-1454.4749999999999</v>
      </c>
      <c r="W68" s="221">
        <v>-1454.4749999999999</v>
      </c>
      <c r="X68" s="221">
        <v>-1454.4749999999999</v>
      </c>
      <c r="Y68" s="221">
        <v>-1454.4749999999999</v>
      </c>
      <c r="Z68" s="221">
        <v>-1454.4749999999999</v>
      </c>
      <c r="AA68" s="221">
        <v>-1454.4749999999999</v>
      </c>
      <c r="AB68" s="221">
        <v>-1454.4749999999999</v>
      </c>
      <c r="AC68" s="221">
        <v>-1454.4749999999999</v>
      </c>
      <c r="AD68" s="221">
        <v>-1454.4749999999999</v>
      </c>
      <c r="AE68" s="221">
        <v>-1454.4749999999999</v>
      </c>
      <c r="AF68" s="218">
        <v>-4363.4250000000002</v>
      </c>
      <c r="AG68" s="180"/>
      <c r="AH68" s="202">
        <v>-3033</v>
      </c>
      <c r="AI68" s="203">
        <v>-2192</v>
      </c>
      <c r="AJ68" s="203">
        <v>-3654</v>
      </c>
      <c r="AK68" s="203">
        <v>-2877</v>
      </c>
      <c r="AL68" s="203">
        <v>-2774</v>
      </c>
      <c r="AM68" s="216">
        <v>-2774</v>
      </c>
      <c r="AN68" s="203">
        <v>-2416</v>
      </c>
      <c r="AO68" s="216">
        <v>-2508</v>
      </c>
      <c r="AP68" s="216">
        <v>-2298</v>
      </c>
      <c r="AQ68" s="203">
        <v>-2298</v>
      </c>
      <c r="AR68" s="203">
        <v>-2224</v>
      </c>
      <c r="AS68" s="203">
        <v>-5076.3999999999996</v>
      </c>
      <c r="AT68" s="205">
        <v>-34124.400000000001</v>
      </c>
      <c r="AU68" s="180"/>
      <c r="AV68" s="180"/>
    </row>
    <row r="69" spans="1:48" ht="13.5" hidden="1" customHeight="1">
      <c r="A69" s="178">
        <v>510190</v>
      </c>
      <c r="B69" s="178">
        <v>51001190</v>
      </c>
      <c r="D69" s="201" t="s">
        <v>464</v>
      </c>
      <c r="E69" s="180" t="s">
        <v>370</v>
      </c>
      <c r="F69" s="202">
        <v>-4148.6899999999996</v>
      </c>
      <c r="G69" s="203">
        <v>-3969.85</v>
      </c>
      <c r="H69" s="203">
        <v>-5229.68</v>
      </c>
      <c r="I69" s="203"/>
      <c r="J69" s="203"/>
      <c r="K69" s="216"/>
      <c r="L69" s="203"/>
      <c r="M69" s="216"/>
      <c r="N69" s="216"/>
      <c r="O69" s="203"/>
      <c r="P69" s="203"/>
      <c r="Q69" s="203"/>
      <c r="R69" s="205">
        <v>-13348.22</v>
      </c>
      <c r="S69" s="180"/>
      <c r="T69" s="220">
        <v>-2052.13</v>
      </c>
      <c r="U69" s="221">
        <v>-2052.13</v>
      </c>
      <c r="V69" s="221">
        <v>-2052.13</v>
      </c>
      <c r="W69" s="221">
        <v>-2052.13</v>
      </c>
      <c r="X69" s="221">
        <v>-2052.13</v>
      </c>
      <c r="Y69" s="221">
        <v>-2052.13</v>
      </c>
      <c r="Z69" s="221">
        <v>-2052.13</v>
      </c>
      <c r="AA69" s="221">
        <v>-2052.13</v>
      </c>
      <c r="AB69" s="221">
        <v>-2052.13</v>
      </c>
      <c r="AC69" s="221">
        <v>-2052.13</v>
      </c>
      <c r="AD69" s="221">
        <v>-2052.13</v>
      </c>
      <c r="AE69" s="221">
        <v>-2052.13</v>
      </c>
      <c r="AF69" s="218">
        <v>-6156.39</v>
      </c>
      <c r="AG69" s="180"/>
      <c r="AH69" s="202">
        <v>-12896.59</v>
      </c>
      <c r="AI69" s="203">
        <v>-6625.1</v>
      </c>
      <c r="AJ69" s="203">
        <v>-6456.81</v>
      </c>
      <c r="AK69" s="203">
        <v>-6296.33</v>
      </c>
      <c r="AL69" s="203">
        <v>-6113.94</v>
      </c>
      <c r="AM69" s="216">
        <v>-6113.94</v>
      </c>
      <c r="AN69" s="203">
        <v>-5870.36</v>
      </c>
      <c r="AO69" s="216">
        <v>-5666.95</v>
      </c>
      <c r="AP69" s="216">
        <v>-5124.2</v>
      </c>
      <c r="AQ69" s="203">
        <v>-5154.78</v>
      </c>
      <c r="AR69" s="203">
        <v>-4712.8900000000003</v>
      </c>
      <c r="AS69" s="203">
        <v>-4603.87</v>
      </c>
      <c r="AT69" s="205">
        <v>-75635.759999999995</v>
      </c>
      <c r="AU69" s="180"/>
      <c r="AV69" s="180"/>
    </row>
    <row r="70" spans="1:48" ht="13.5" hidden="1" customHeight="1">
      <c r="A70" s="178">
        <v>510200</v>
      </c>
      <c r="B70" s="178">
        <v>51001200</v>
      </c>
      <c r="D70" s="201" t="s">
        <v>465</v>
      </c>
      <c r="E70" s="180" t="s">
        <v>370</v>
      </c>
      <c r="F70" s="202"/>
      <c r="G70" s="203"/>
      <c r="H70" s="203"/>
      <c r="I70" s="203"/>
      <c r="J70" s="203"/>
      <c r="K70" s="216"/>
      <c r="L70" s="203"/>
      <c r="M70" s="216"/>
      <c r="N70" s="216"/>
      <c r="O70" s="203"/>
      <c r="P70" s="203"/>
      <c r="Q70" s="203"/>
      <c r="R70" s="205">
        <v>0</v>
      </c>
      <c r="S70" s="180"/>
      <c r="T70" s="220"/>
      <c r="U70" s="221"/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18">
        <v>0</v>
      </c>
      <c r="AG70" s="180"/>
      <c r="AH70" s="202"/>
      <c r="AI70" s="203">
        <v>-10056</v>
      </c>
      <c r="AJ70" s="203"/>
      <c r="AK70" s="203"/>
      <c r="AL70" s="203"/>
      <c r="AM70" s="216"/>
      <c r="AN70" s="203"/>
      <c r="AO70" s="216"/>
      <c r="AP70" s="216"/>
      <c r="AQ70" s="203"/>
      <c r="AR70" s="203"/>
      <c r="AS70" s="203"/>
      <c r="AT70" s="205">
        <v>-10056</v>
      </c>
      <c r="AU70" s="180"/>
      <c r="AV70" s="180"/>
    </row>
    <row r="71" spans="1:48" ht="13.5" hidden="1" customHeight="1">
      <c r="A71" s="178">
        <v>510210</v>
      </c>
      <c r="B71" s="178">
        <v>51001210</v>
      </c>
      <c r="D71" s="201" t="s">
        <v>466</v>
      </c>
      <c r="E71" s="180" t="s">
        <v>370</v>
      </c>
      <c r="F71" s="202"/>
      <c r="G71" s="203"/>
      <c r="H71" s="203"/>
      <c r="I71" s="203"/>
      <c r="J71" s="203"/>
      <c r="K71" s="216"/>
      <c r="L71" s="203"/>
      <c r="M71" s="216"/>
      <c r="N71" s="216"/>
      <c r="O71" s="203"/>
      <c r="P71" s="203"/>
      <c r="Q71" s="203"/>
      <c r="R71" s="205">
        <v>0</v>
      </c>
      <c r="S71" s="180"/>
      <c r="T71" s="220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18">
        <v>0</v>
      </c>
      <c r="AG71" s="180"/>
      <c r="AH71" s="202"/>
      <c r="AI71" s="203"/>
      <c r="AJ71" s="203"/>
      <c r="AK71" s="203"/>
      <c r="AL71" s="203"/>
      <c r="AM71" s="216"/>
      <c r="AN71" s="203"/>
      <c r="AO71" s="216"/>
      <c r="AP71" s="216"/>
      <c r="AQ71" s="203"/>
      <c r="AR71" s="203"/>
      <c r="AS71" s="203"/>
      <c r="AT71" s="205">
        <v>0</v>
      </c>
      <c r="AU71" s="180"/>
      <c r="AV71" s="180"/>
    </row>
    <row r="72" spans="1:48" ht="13.5" hidden="1" customHeight="1">
      <c r="A72" s="178">
        <v>510220</v>
      </c>
      <c r="B72" s="178">
        <v>51001220</v>
      </c>
      <c r="D72" s="201" t="s">
        <v>467</v>
      </c>
      <c r="E72" s="180" t="s">
        <v>370</v>
      </c>
      <c r="F72" s="202">
        <v>-3606</v>
      </c>
      <c r="G72" s="203">
        <v>-3254</v>
      </c>
      <c r="H72" s="203">
        <v>-4388</v>
      </c>
      <c r="I72" s="203"/>
      <c r="J72" s="203"/>
      <c r="K72" s="216"/>
      <c r="L72" s="203"/>
      <c r="M72" s="216"/>
      <c r="N72" s="216"/>
      <c r="O72" s="203"/>
      <c r="P72" s="203"/>
      <c r="Q72" s="203"/>
      <c r="R72" s="205">
        <v>-11248</v>
      </c>
      <c r="S72" s="180"/>
      <c r="T72" s="220">
        <v>-2844.57083333333</v>
      </c>
      <c r="U72" s="221">
        <v>-2844.57083333333</v>
      </c>
      <c r="V72" s="221">
        <v>-2844.57083333333</v>
      </c>
      <c r="W72" s="221">
        <v>-2844.57083333333</v>
      </c>
      <c r="X72" s="221">
        <v>-2844.57083333333</v>
      </c>
      <c r="Y72" s="221">
        <v>-2844.57083333333</v>
      </c>
      <c r="Z72" s="221">
        <v>-2844.57083333333</v>
      </c>
      <c r="AA72" s="221">
        <v>-2844.57083333333</v>
      </c>
      <c r="AB72" s="221">
        <v>-2844.57083333333</v>
      </c>
      <c r="AC72" s="221">
        <v>-2844.57083333333</v>
      </c>
      <c r="AD72" s="221">
        <v>-2844.57083333333</v>
      </c>
      <c r="AE72" s="221">
        <v>-2844.57083333333</v>
      </c>
      <c r="AF72" s="218">
        <v>-8533.7124999999996</v>
      </c>
      <c r="AG72" s="180"/>
      <c r="AH72" s="202">
        <v>-8781</v>
      </c>
      <c r="AI72" s="203">
        <v>-7244</v>
      </c>
      <c r="AJ72" s="203">
        <v>-7918</v>
      </c>
      <c r="AK72" s="203">
        <v>-7549</v>
      </c>
      <c r="AL72" s="203">
        <v>-23442</v>
      </c>
      <c r="AM72" s="216">
        <v>-7434</v>
      </c>
      <c r="AN72" s="203">
        <v>-6572</v>
      </c>
      <c r="AO72" s="256">
        <v>-60102</v>
      </c>
      <c r="AP72" s="216">
        <v>-5510</v>
      </c>
      <c r="AQ72" s="203">
        <v>-17335</v>
      </c>
      <c r="AR72" s="203">
        <v>-5445</v>
      </c>
      <c r="AS72" s="203">
        <v>30680</v>
      </c>
      <c r="AT72" s="205">
        <v>-126652</v>
      </c>
      <c r="AU72" s="180"/>
      <c r="AV72" s="180"/>
    </row>
    <row r="73" spans="1:48" ht="13.5" hidden="1" customHeight="1">
      <c r="A73" s="178">
        <v>510230</v>
      </c>
      <c r="B73" s="178">
        <v>51001230</v>
      </c>
      <c r="D73" s="201" t="s">
        <v>468</v>
      </c>
      <c r="E73" s="180" t="s">
        <v>370</v>
      </c>
      <c r="F73" s="202"/>
      <c r="G73" s="203"/>
      <c r="H73" s="203"/>
      <c r="I73" s="203"/>
      <c r="J73" s="203"/>
      <c r="K73" s="216"/>
      <c r="L73" s="203"/>
      <c r="M73" s="216"/>
      <c r="N73" s="216"/>
      <c r="O73" s="203"/>
      <c r="P73" s="203"/>
      <c r="Q73" s="203"/>
      <c r="R73" s="205">
        <v>0</v>
      </c>
      <c r="S73" s="180"/>
      <c r="T73" s="220">
        <v>0</v>
      </c>
      <c r="U73" s="221">
        <v>0</v>
      </c>
      <c r="V73" s="221">
        <v>0</v>
      </c>
      <c r="W73" s="221">
        <v>0</v>
      </c>
      <c r="X73" s="221">
        <v>0</v>
      </c>
      <c r="Y73" s="221">
        <v>0</v>
      </c>
      <c r="Z73" s="221">
        <v>0</v>
      </c>
      <c r="AA73" s="221">
        <v>0</v>
      </c>
      <c r="AB73" s="221">
        <v>0</v>
      </c>
      <c r="AC73" s="221">
        <v>0</v>
      </c>
      <c r="AD73" s="221">
        <v>0</v>
      </c>
      <c r="AE73" s="221">
        <v>0</v>
      </c>
      <c r="AF73" s="218">
        <v>0</v>
      </c>
      <c r="AG73" s="180"/>
      <c r="AH73" s="202">
        <v>-3366.67</v>
      </c>
      <c r="AI73" s="203"/>
      <c r="AJ73" s="203"/>
      <c r="AK73" s="203"/>
      <c r="AL73" s="203"/>
      <c r="AM73" s="216"/>
      <c r="AN73" s="203"/>
      <c r="AO73" s="216"/>
      <c r="AP73" s="216"/>
      <c r="AQ73" s="203"/>
      <c r="AR73" s="203"/>
      <c r="AS73" s="203"/>
      <c r="AT73" s="205">
        <v>-3366.67</v>
      </c>
      <c r="AU73" s="180"/>
      <c r="AV73" s="180"/>
    </row>
    <row r="74" spans="1:48" ht="13.5" hidden="1" customHeight="1">
      <c r="A74" s="178">
        <v>510240</v>
      </c>
      <c r="B74" s="178">
        <v>51001240</v>
      </c>
      <c r="D74" s="201" t="s">
        <v>469</v>
      </c>
      <c r="E74" s="180" t="s">
        <v>370</v>
      </c>
      <c r="F74" s="202"/>
      <c r="G74" s="203"/>
      <c r="H74" s="203"/>
      <c r="I74" s="203"/>
      <c r="J74" s="203"/>
      <c r="K74" s="216"/>
      <c r="L74" s="203"/>
      <c r="M74" s="216"/>
      <c r="N74" s="216"/>
      <c r="O74" s="203"/>
      <c r="P74" s="203"/>
      <c r="Q74" s="203"/>
      <c r="R74" s="205">
        <v>0</v>
      </c>
      <c r="S74" s="180"/>
      <c r="T74" s="220">
        <v>-366.66666666666703</v>
      </c>
      <c r="U74" s="221">
        <v>-366.66666666666703</v>
      </c>
      <c r="V74" s="221">
        <v>-366.66666666666703</v>
      </c>
      <c r="W74" s="221">
        <v>-366.66666666666703</v>
      </c>
      <c r="X74" s="221">
        <v>-366.66666666666703</v>
      </c>
      <c r="Y74" s="221">
        <v>-366.66666666666703</v>
      </c>
      <c r="Z74" s="221">
        <v>-366.66666666666703</v>
      </c>
      <c r="AA74" s="221">
        <v>-366.66666666666703</v>
      </c>
      <c r="AB74" s="221">
        <v>-366.66666666666703</v>
      </c>
      <c r="AC74" s="221">
        <v>-366.66666666666703</v>
      </c>
      <c r="AD74" s="221">
        <v>-366.66666666666703</v>
      </c>
      <c r="AE74" s="221">
        <v>-366.66666666666703</v>
      </c>
      <c r="AF74" s="218">
        <v>-1100</v>
      </c>
      <c r="AG74" s="180"/>
      <c r="AH74" s="202"/>
      <c r="AI74" s="203"/>
      <c r="AJ74" s="203">
        <v>-1267</v>
      </c>
      <c r="AK74" s="203">
        <v>-3091</v>
      </c>
      <c r="AL74" s="203"/>
      <c r="AM74" s="216"/>
      <c r="AN74" s="203"/>
      <c r="AO74" s="216"/>
      <c r="AP74" s="216"/>
      <c r="AQ74" s="203"/>
      <c r="AR74" s="203"/>
      <c r="AS74" s="203"/>
      <c r="AT74" s="205">
        <v>-4358</v>
      </c>
      <c r="AU74" s="180"/>
      <c r="AV74" s="180"/>
    </row>
    <row r="75" spans="1:48" ht="13.5" hidden="1" customHeight="1">
      <c r="A75" s="178">
        <v>510250</v>
      </c>
      <c r="B75" s="178"/>
      <c r="D75" s="201" t="s">
        <v>470</v>
      </c>
      <c r="E75" s="180" t="s">
        <v>370</v>
      </c>
      <c r="F75" s="202"/>
      <c r="G75" s="203">
        <v>-3625</v>
      </c>
      <c r="H75" s="203"/>
      <c r="I75" s="203"/>
      <c r="J75" s="203"/>
      <c r="K75" s="216"/>
      <c r="L75" s="203"/>
      <c r="M75" s="216"/>
      <c r="N75" s="216"/>
      <c r="O75" s="203"/>
      <c r="P75" s="203"/>
      <c r="Q75" s="203"/>
      <c r="R75" s="205">
        <v>-3625</v>
      </c>
      <c r="S75" s="180"/>
      <c r="T75" s="220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18">
        <v>0</v>
      </c>
      <c r="AG75" s="180"/>
      <c r="AH75" s="202"/>
      <c r="AI75" s="203"/>
      <c r="AJ75" s="203">
        <v>-464</v>
      </c>
      <c r="AK75" s="203"/>
      <c r="AL75" s="203">
        <v>-698</v>
      </c>
      <c r="AM75" s="216"/>
      <c r="AN75" s="203">
        <v>-141</v>
      </c>
      <c r="AO75" s="216"/>
      <c r="AP75" s="216">
        <v>-1105</v>
      </c>
      <c r="AQ75" s="203"/>
      <c r="AR75" s="203">
        <v>-193</v>
      </c>
      <c r="AS75" s="203">
        <v>-4839</v>
      </c>
      <c r="AT75" s="205">
        <v>-7440</v>
      </c>
      <c r="AU75" s="180"/>
      <c r="AV75" s="180"/>
    </row>
    <row r="76" spans="1:48" ht="13.5" hidden="1" customHeight="1">
      <c r="A76" s="178">
        <v>510260</v>
      </c>
      <c r="B76" s="178">
        <v>51001260</v>
      </c>
      <c r="D76" s="201" t="s">
        <v>471</v>
      </c>
      <c r="E76" s="180" t="s">
        <v>370</v>
      </c>
      <c r="F76" s="202">
        <v>-8625</v>
      </c>
      <c r="G76" s="203">
        <v>-9625</v>
      </c>
      <c r="H76" s="203">
        <v>-11762.2</v>
      </c>
      <c r="I76" s="203"/>
      <c r="J76" s="203"/>
      <c r="K76" s="216"/>
      <c r="L76" s="203"/>
      <c r="M76" s="216"/>
      <c r="N76" s="216"/>
      <c r="O76" s="203"/>
      <c r="P76" s="203"/>
      <c r="Q76" s="203"/>
      <c r="R76" s="205">
        <v>-30012.2</v>
      </c>
      <c r="S76" s="180"/>
      <c r="T76" s="220">
        <v>-6066.6666666666697</v>
      </c>
      <c r="U76" s="221">
        <v>-6066.6666666666697</v>
      </c>
      <c r="V76" s="221">
        <v>-6066.6666666666697</v>
      </c>
      <c r="W76" s="221">
        <v>-6066.6666666666697</v>
      </c>
      <c r="X76" s="221">
        <v>-6066.6666666666697</v>
      </c>
      <c r="Y76" s="221">
        <v>-6066.6666666666697</v>
      </c>
      <c r="Z76" s="221">
        <v>-6066.6666666666697</v>
      </c>
      <c r="AA76" s="221">
        <v>-6066.6666666666697</v>
      </c>
      <c r="AB76" s="221">
        <v>-6066.6666666666697</v>
      </c>
      <c r="AC76" s="221">
        <v>-6066.6666666666697</v>
      </c>
      <c r="AD76" s="221">
        <v>-6066.6666666666697</v>
      </c>
      <c r="AE76" s="221">
        <v>-6066.6666666666697</v>
      </c>
      <c r="AF76" s="218">
        <v>-18200</v>
      </c>
      <c r="AG76" s="180"/>
      <c r="AH76" s="202">
        <v>-44387.5</v>
      </c>
      <c r="AI76" s="203">
        <v>-44125</v>
      </c>
      <c r="AJ76" s="203">
        <v>-43125</v>
      </c>
      <c r="AK76" s="203">
        <v>-41400</v>
      </c>
      <c r="AL76" s="203">
        <v>-38350</v>
      </c>
      <c r="AM76" s="216">
        <v>-37950</v>
      </c>
      <c r="AN76" s="203">
        <v>-28767.5</v>
      </c>
      <c r="AO76" s="216">
        <v>-27390</v>
      </c>
      <c r="AP76" s="216">
        <v>-18312.5</v>
      </c>
      <c r="AQ76" s="203">
        <v>-18712.5</v>
      </c>
      <c r="AR76" s="203">
        <v>-17250</v>
      </c>
      <c r="AS76" s="203">
        <v>-16987.5</v>
      </c>
      <c r="AT76" s="205">
        <v>-376757.5</v>
      </c>
      <c r="AU76" s="180"/>
      <c r="AV76" s="180"/>
    </row>
    <row r="77" spans="1:48" ht="13.5" hidden="1" customHeight="1">
      <c r="A77" s="254">
        <v>510270</v>
      </c>
      <c r="B77" s="254">
        <v>51001270</v>
      </c>
      <c r="D77" s="185" t="s">
        <v>472</v>
      </c>
      <c r="E77" s="180" t="s">
        <v>370</v>
      </c>
      <c r="F77" s="186"/>
      <c r="G77" s="187">
        <v>1757</v>
      </c>
      <c r="H77" s="187"/>
      <c r="I77" s="187"/>
      <c r="J77" s="187"/>
      <c r="K77" s="216"/>
      <c r="L77" s="187"/>
      <c r="M77" s="216"/>
      <c r="N77" s="216"/>
      <c r="O77" s="187"/>
      <c r="P77" s="187"/>
      <c r="Q77" s="187"/>
      <c r="R77" s="189">
        <v>1757</v>
      </c>
      <c r="S77" s="180"/>
      <c r="T77" s="220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18">
        <v>0</v>
      </c>
      <c r="AG77" s="180"/>
      <c r="AH77" s="186">
        <v>913</v>
      </c>
      <c r="AI77" s="187">
        <v>1350</v>
      </c>
      <c r="AJ77" s="187"/>
      <c r="AK77" s="187"/>
      <c r="AL77" s="187">
        <v>2309</v>
      </c>
      <c r="AM77" s="216"/>
      <c r="AN77" s="187"/>
      <c r="AO77" s="216">
        <v>1733</v>
      </c>
      <c r="AP77" s="216"/>
      <c r="AQ77" s="187"/>
      <c r="AR77" s="187">
        <v>1055</v>
      </c>
      <c r="AS77" s="187"/>
      <c r="AT77" s="189">
        <v>7360</v>
      </c>
      <c r="AU77" s="180"/>
      <c r="AV77" s="180"/>
    </row>
    <row r="78" spans="1:48" ht="13.5" hidden="1" customHeight="1">
      <c r="A78" s="227"/>
      <c r="B78" s="227"/>
      <c r="C78" s="257"/>
      <c r="D78" s="228" t="s">
        <v>473</v>
      </c>
      <c r="E78" s="229" t="s">
        <v>370</v>
      </c>
      <c r="F78" s="230">
        <v>-59412.17</v>
      </c>
      <c r="G78" s="231">
        <v>-85669.33</v>
      </c>
      <c r="H78" s="231">
        <v>-92721.25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4">
        <v>-237802.75</v>
      </c>
      <c r="S78" s="229"/>
      <c r="T78" s="230">
        <v>-56880.573333333297</v>
      </c>
      <c r="U78" s="231">
        <v>-56880.573333333297</v>
      </c>
      <c r="V78" s="231">
        <v>-56880.573333333297</v>
      </c>
      <c r="W78" s="231">
        <v>-56880.573333333297</v>
      </c>
      <c r="X78" s="231">
        <v>-56880.573333333297</v>
      </c>
      <c r="Y78" s="231">
        <v>-56880.573333333297</v>
      </c>
      <c r="Z78" s="231">
        <v>-56880.573333333297</v>
      </c>
      <c r="AA78" s="231">
        <v>-56880.573333333297</v>
      </c>
      <c r="AB78" s="231">
        <v>-56880.573333333297</v>
      </c>
      <c r="AC78" s="231">
        <v>-56880.573333333297</v>
      </c>
      <c r="AD78" s="231">
        <v>-56880.573333333297</v>
      </c>
      <c r="AE78" s="231">
        <v>-56880.573333333297</v>
      </c>
      <c r="AF78" s="232">
        <v>-170641.72</v>
      </c>
      <c r="AG78" s="229"/>
      <c r="AH78" s="230">
        <v>-270090.77</v>
      </c>
      <c r="AI78" s="231">
        <v>-258908.92</v>
      </c>
      <c r="AJ78" s="231">
        <v>-262194.15999999997</v>
      </c>
      <c r="AK78" s="231">
        <v>-224388.93</v>
      </c>
      <c r="AL78" s="231">
        <v>-237745.49</v>
      </c>
      <c r="AM78" s="231">
        <v>-196462.49</v>
      </c>
      <c r="AN78" s="231">
        <v>-178573.06</v>
      </c>
      <c r="AO78" s="231">
        <v>-204268.32</v>
      </c>
      <c r="AP78" s="231">
        <v>-148385.22</v>
      </c>
      <c r="AQ78" s="231">
        <v>-143177.82</v>
      </c>
      <c r="AR78" s="231">
        <v>-136897.43</v>
      </c>
      <c r="AS78" s="231">
        <v>-26456.13</v>
      </c>
      <c r="AT78" s="234">
        <v>-2287548.7400000002</v>
      </c>
      <c r="AU78" s="229"/>
      <c r="AV78" s="229"/>
    </row>
    <row r="79" spans="1:48" ht="13.5" hidden="1" customHeight="1">
      <c r="A79" s="255">
        <v>510110</v>
      </c>
      <c r="B79" s="255">
        <v>51001110</v>
      </c>
      <c r="D79" s="249" t="s">
        <v>474</v>
      </c>
      <c r="E79" s="180" t="s">
        <v>370</v>
      </c>
      <c r="F79" s="250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8">
        <v>0</v>
      </c>
      <c r="S79" s="180"/>
      <c r="T79" s="258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18">
        <v>0</v>
      </c>
      <c r="AG79" s="180"/>
      <c r="AH79" s="250"/>
      <c r="AI79" s="216"/>
      <c r="AJ79" s="216"/>
      <c r="AK79" s="216"/>
      <c r="AL79" s="216"/>
      <c r="AM79" s="216"/>
      <c r="AN79" s="216"/>
      <c r="AO79" s="216"/>
      <c r="AP79" s="216"/>
      <c r="AQ79" s="216"/>
      <c r="AR79" s="216"/>
      <c r="AS79" s="216"/>
      <c r="AT79" s="218">
        <v>0</v>
      </c>
      <c r="AU79" s="180"/>
      <c r="AV79" s="180"/>
    </row>
    <row r="80" spans="1:48" ht="13.5" hidden="1" customHeight="1">
      <c r="A80" s="178">
        <v>510120</v>
      </c>
      <c r="B80" s="178">
        <v>51001150</v>
      </c>
      <c r="D80" s="201" t="s">
        <v>475</v>
      </c>
      <c r="E80" s="180" t="s">
        <v>370</v>
      </c>
      <c r="F80" s="202"/>
      <c r="G80" s="203"/>
      <c r="H80" s="203"/>
      <c r="I80" s="203"/>
      <c r="J80" s="203"/>
      <c r="K80" s="216"/>
      <c r="L80" s="203"/>
      <c r="M80" s="216"/>
      <c r="N80" s="216"/>
      <c r="O80" s="203"/>
      <c r="P80" s="203"/>
      <c r="Q80" s="203"/>
      <c r="R80" s="205">
        <v>0</v>
      </c>
      <c r="S80" s="180"/>
      <c r="T80" s="258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18">
        <v>0</v>
      </c>
      <c r="AG80" s="180"/>
      <c r="AH80" s="202"/>
      <c r="AI80" s="203"/>
      <c r="AJ80" s="203"/>
      <c r="AK80" s="203"/>
      <c r="AL80" s="203"/>
      <c r="AM80" s="216"/>
      <c r="AN80" s="203"/>
      <c r="AO80" s="216"/>
      <c r="AP80" s="216"/>
      <c r="AQ80" s="203"/>
      <c r="AR80" s="203"/>
      <c r="AS80" s="203"/>
      <c r="AT80" s="205">
        <v>0</v>
      </c>
      <c r="AU80" s="180"/>
      <c r="AV80" s="180"/>
    </row>
    <row r="81" spans="1:48" ht="13.5" hidden="1" customHeight="1">
      <c r="A81" s="178">
        <v>510130</v>
      </c>
      <c r="B81" s="178">
        <v>51001140</v>
      </c>
      <c r="D81" s="201" t="s">
        <v>476</v>
      </c>
      <c r="E81" s="180" t="s">
        <v>370</v>
      </c>
      <c r="F81" s="202"/>
      <c r="G81" s="203"/>
      <c r="H81" s="203"/>
      <c r="I81" s="203"/>
      <c r="J81" s="203"/>
      <c r="K81" s="216"/>
      <c r="L81" s="203"/>
      <c r="M81" s="216"/>
      <c r="N81" s="216"/>
      <c r="O81" s="203"/>
      <c r="P81" s="203"/>
      <c r="Q81" s="203"/>
      <c r="R81" s="205">
        <v>0</v>
      </c>
      <c r="S81" s="180"/>
      <c r="T81" s="258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18">
        <v>0</v>
      </c>
      <c r="AG81" s="180"/>
      <c r="AH81" s="202"/>
      <c r="AI81" s="203"/>
      <c r="AJ81" s="203"/>
      <c r="AK81" s="203"/>
      <c r="AL81" s="203"/>
      <c r="AM81" s="216"/>
      <c r="AN81" s="203"/>
      <c r="AO81" s="216"/>
      <c r="AP81" s="216"/>
      <c r="AQ81" s="203"/>
      <c r="AR81" s="203"/>
      <c r="AS81" s="203"/>
      <c r="AT81" s="205">
        <v>0</v>
      </c>
      <c r="AU81" s="180"/>
      <c r="AV81" s="180"/>
    </row>
    <row r="82" spans="1:48" ht="13.5" hidden="1" customHeight="1">
      <c r="A82" s="178">
        <v>510140</v>
      </c>
      <c r="B82" s="178">
        <v>51001130</v>
      </c>
      <c r="D82" s="201" t="s">
        <v>477</v>
      </c>
      <c r="E82" s="180" t="s">
        <v>370</v>
      </c>
      <c r="F82" s="202"/>
      <c r="G82" s="203"/>
      <c r="H82" s="203"/>
      <c r="I82" s="203"/>
      <c r="J82" s="203"/>
      <c r="K82" s="216"/>
      <c r="L82" s="203"/>
      <c r="M82" s="216"/>
      <c r="N82" s="216"/>
      <c r="O82" s="203"/>
      <c r="P82" s="203"/>
      <c r="Q82" s="203"/>
      <c r="R82" s="205">
        <v>0</v>
      </c>
      <c r="S82" s="180"/>
      <c r="T82" s="258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18">
        <v>0</v>
      </c>
      <c r="AG82" s="180"/>
      <c r="AH82" s="202"/>
      <c r="AI82" s="203"/>
      <c r="AJ82" s="203"/>
      <c r="AK82" s="203"/>
      <c r="AL82" s="203"/>
      <c r="AM82" s="216"/>
      <c r="AN82" s="203"/>
      <c r="AO82" s="216"/>
      <c r="AP82" s="216"/>
      <c r="AQ82" s="203"/>
      <c r="AR82" s="203"/>
      <c r="AS82" s="203"/>
      <c r="AT82" s="205">
        <v>0</v>
      </c>
      <c r="AU82" s="180"/>
      <c r="AV82" s="180"/>
    </row>
    <row r="83" spans="1:48" ht="13.5" hidden="1" customHeight="1">
      <c r="A83" s="178">
        <v>510150</v>
      </c>
      <c r="B83" s="178">
        <v>51001120</v>
      </c>
      <c r="D83" s="201" t="s">
        <v>478</v>
      </c>
      <c r="E83" s="180" t="s">
        <v>370</v>
      </c>
      <c r="F83" s="202"/>
      <c r="G83" s="203"/>
      <c r="H83" s="203"/>
      <c r="I83" s="203"/>
      <c r="J83" s="203"/>
      <c r="K83" s="216"/>
      <c r="L83" s="203"/>
      <c r="M83" s="216"/>
      <c r="N83" s="216"/>
      <c r="O83" s="203"/>
      <c r="P83" s="203"/>
      <c r="Q83" s="203"/>
      <c r="R83" s="205">
        <v>0</v>
      </c>
      <c r="S83" s="180"/>
      <c r="T83" s="258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18">
        <v>0</v>
      </c>
      <c r="AG83" s="180"/>
      <c r="AH83" s="202"/>
      <c r="AI83" s="203"/>
      <c r="AJ83" s="203"/>
      <c r="AK83" s="203"/>
      <c r="AL83" s="203"/>
      <c r="AM83" s="216"/>
      <c r="AN83" s="203"/>
      <c r="AO83" s="216"/>
      <c r="AP83" s="216"/>
      <c r="AQ83" s="203"/>
      <c r="AR83" s="203"/>
      <c r="AS83" s="203"/>
      <c r="AT83" s="205">
        <v>0</v>
      </c>
      <c r="AU83" s="180"/>
      <c r="AV83" s="180"/>
    </row>
    <row r="84" spans="1:48" ht="13.5" hidden="1" customHeight="1">
      <c r="A84" s="178">
        <v>510160</v>
      </c>
      <c r="B84" s="178">
        <v>51001160</v>
      </c>
      <c r="D84" s="201" t="s">
        <v>479</v>
      </c>
      <c r="E84" s="180" t="s">
        <v>370</v>
      </c>
      <c r="F84" s="202"/>
      <c r="G84" s="203"/>
      <c r="H84" s="203"/>
      <c r="I84" s="203"/>
      <c r="J84" s="203"/>
      <c r="K84" s="216"/>
      <c r="L84" s="203"/>
      <c r="M84" s="216"/>
      <c r="N84" s="216"/>
      <c r="O84" s="203"/>
      <c r="P84" s="203"/>
      <c r="Q84" s="203"/>
      <c r="R84" s="205">
        <v>0</v>
      </c>
      <c r="S84" s="180"/>
      <c r="T84" s="258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18">
        <v>0</v>
      </c>
      <c r="AG84" s="180"/>
      <c r="AH84" s="202"/>
      <c r="AI84" s="203"/>
      <c r="AJ84" s="203"/>
      <c r="AK84" s="203"/>
      <c r="AL84" s="203"/>
      <c r="AM84" s="216"/>
      <c r="AN84" s="203"/>
      <c r="AO84" s="216"/>
      <c r="AP84" s="216"/>
      <c r="AQ84" s="203"/>
      <c r="AR84" s="203"/>
      <c r="AS84" s="203"/>
      <c r="AT84" s="205">
        <v>0</v>
      </c>
      <c r="AU84" s="180"/>
      <c r="AV84" s="180"/>
    </row>
    <row r="85" spans="1:48" ht="13.5" hidden="1" customHeight="1">
      <c r="A85" s="178">
        <v>510170</v>
      </c>
      <c r="B85" s="178">
        <v>51001170</v>
      </c>
      <c r="D85" s="201" t="s">
        <v>480</v>
      </c>
      <c r="E85" s="180" t="s">
        <v>370</v>
      </c>
      <c r="F85" s="202"/>
      <c r="G85" s="203"/>
      <c r="H85" s="203"/>
      <c r="I85" s="203"/>
      <c r="J85" s="203"/>
      <c r="K85" s="216"/>
      <c r="L85" s="203"/>
      <c r="M85" s="216"/>
      <c r="N85" s="216"/>
      <c r="O85" s="203"/>
      <c r="P85" s="203"/>
      <c r="Q85" s="203"/>
      <c r="R85" s="205">
        <v>0</v>
      </c>
      <c r="S85" s="180"/>
      <c r="T85" s="258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18">
        <v>0</v>
      </c>
      <c r="AG85" s="180"/>
      <c r="AH85" s="202"/>
      <c r="AI85" s="203"/>
      <c r="AJ85" s="203"/>
      <c r="AK85" s="203"/>
      <c r="AL85" s="203"/>
      <c r="AM85" s="216"/>
      <c r="AN85" s="203"/>
      <c r="AO85" s="216"/>
      <c r="AP85" s="216"/>
      <c r="AQ85" s="203"/>
      <c r="AR85" s="203"/>
      <c r="AS85" s="203"/>
      <c r="AT85" s="205">
        <v>0</v>
      </c>
      <c r="AU85" s="180"/>
      <c r="AV85" s="180"/>
    </row>
    <row r="86" spans="1:48" ht="13.5" hidden="1" customHeight="1">
      <c r="A86" s="178">
        <v>510180</v>
      </c>
      <c r="B86" s="178">
        <v>51001180</v>
      </c>
      <c r="D86" s="201" t="s">
        <v>481</v>
      </c>
      <c r="E86" s="180" t="s">
        <v>370</v>
      </c>
      <c r="F86" s="202"/>
      <c r="G86" s="203"/>
      <c r="H86" s="203"/>
      <c r="I86" s="203"/>
      <c r="J86" s="203"/>
      <c r="K86" s="216"/>
      <c r="L86" s="203"/>
      <c r="M86" s="216"/>
      <c r="N86" s="216"/>
      <c r="O86" s="203"/>
      <c r="P86" s="203"/>
      <c r="Q86" s="203"/>
      <c r="R86" s="205">
        <v>0</v>
      </c>
      <c r="S86" s="180"/>
      <c r="T86" s="258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18">
        <v>0</v>
      </c>
      <c r="AG86" s="180"/>
      <c r="AH86" s="202"/>
      <c r="AI86" s="203"/>
      <c r="AJ86" s="203"/>
      <c r="AK86" s="203"/>
      <c r="AL86" s="203"/>
      <c r="AM86" s="216"/>
      <c r="AN86" s="203"/>
      <c r="AO86" s="216"/>
      <c r="AP86" s="216"/>
      <c r="AQ86" s="203"/>
      <c r="AR86" s="203"/>
      <c r="AS86" s="203"/>
      <c r="AT86" s="205">
        <v>0</v>
      </c>
      <c r="AU86" s="180"/>
      <c r="AV86" s="180"/>
    </row>
    <row r="87" spans="1:48" ht="13.5" hidden="1" customHeight="1">
      <c r="A87" s="178">
        <v>510190</v>
      </c>
      <c r="B87" s="178">
        <v>51001190</v>
      </c>
      <c r="D87" s="201" t="s">
        <v>482</v>
      </c>
      <c r="E87" s="180" t="s">
        <v>370</v>
      </c>
      <c r="F87" s="202"/>
      <c r="G87" s="203"/>
      <c r="H87" s="203"/>
      <c r="I87" s="203"/>
      <c r="J87" s="203"/>
      <c r="K87" s="216"/>
      <c r="L87" s="203"/>
      <c r="M87" s="216"/>
      <c r="N87" s="216"/>
      <c r="O87" s="203"/>
      <c r="P87" s="203"/>
      <c r="Q87" s="203"/>
      <c r="R87" s="205">
        <v>0</v>
      </c>
      <c r="S87" s="180"/>
      <c r="T87" s="258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18">
        <v>0</v>
      </c>
      <c r="AG87" s="180"/>
      <c r="AH87" s="202"/>
      <c r="AI87" s="203"/>
      <c r="AJ87" s="203"/>
      <c r="AK87" s="203"/>
      <c r="AL87" s="203"/>
      <c r="AM87" s="216"/>
      <c r="AN87" s="203"/>
      <c r="AO87" s="216"/>
      <c r="AP87" s="216"/>
      <c r="AQ87" s="203"/>
      <c r="AR87" s="203"/>
      <c r="AS87" s="203"/>
      <c r="AT87" s="205">
        <v>0</v>
      </c>
      <c r="AU87" s="180"/>
      <c r="AV87" s="180"/>
    </row>
    <row r="88" spans="1:48" ht="13.5" hidden="1" customHeight="1">
      <c r="A88" s="178">
        <v>510200</v>
      </c>
      <c r="B88" s="178">
        <v>51001200</v>
      </c>
      <c r="D88" s="201" t="s">
        <v>483</v>
      </c>
      <c r="E88" s="180" t="s">
        <v>370</v>
      </c>
      <c r="F88" s="202"/>
      <c r="G88" s="203"/>
      <c r="H88" s="203"/>
      <c r="I88" s="203"/>
      <c r="J88" s="203"/>
      <c r="K88" s="216"/>
      <c r="L88" s="240"/>
      <c r="M88" s="216"/>
      <c r="N88" s="216"/>
      <c r="O88" s="203"/>
      <c r="P88" s="203"/>
      <c r="Q88" s="203"/>
      <c r="R88" s="205">
        <v>0</v>
      </c>
      <c r="S88" s="180"/>
      <c r="T88" s="258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18">
        <v>0</v>
      </c>
      <c r="AG88" s="180"/>
      <c r="AH88" s="202"/>
      <c r="AI88" s="203"/>
      <c r="AJ88" s="203"/>
      <c r="AK88" s="203"/>
      <c r="AL88" s="203"/>
      <c r="AM88" s="216"/>
      <c r="AN88" s="240"/>
      <c r="AO88" s="216"/>
      <c r="AP88" s="216"/>
      <c r="AQ88" s="203"/>
      <c r="AR88" s="203"/>
      <c r="AS88" s="203"/>
      <c r="AT88" s="205">
        <v>0</v>
      </c>
      <c r="AU88" s="180"/>
      <c r="AV88" s="180"/>
    </row>
    <row r="89" spans="1:48" ht="13.5" hidden="1" customHeight="1">
      <c r="A89" s="178">
        <v>510210</v>
      </c>
      <c r="B89" s="178">
        <v>51001210</v>
      </c>
      <c r="D89" s="201" t="s">
        <v>484</v>
      </c>
      <c r="E89" s="180" t="s">
        <v>370</v>
      </c>
      <c r="F89" s="202"/>
      <c r="G89" s="203"/>
      <c r="H89" s="203"/>
      <c r="I89" s="203"/>
      <c r="J89" s="203"/>
      <c r="K89" s="216"/>
      <c r="L89" s="203"/>
      <c r="M89" s="216"/>
      <c r="N89" s="216"/>
      <c r="O89" s="203"/>
      <c r="P89" s="203"/>
      <c r="Q89" s="203"/>
      <c r="R89" s="205">
        <v>0</v>
      </c>
      <c r="S89" s="180"/>
      <c r="T89" s="258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18">
        <v>0</v>
      </c>
      <c r="AG89" s="180"/>
      <c r="AH89" s="202"/>
      <c r="AI89" s="203"/>
      <c r="AJ89" s="203"/>
      <c r="AK89" s="203"/>
      <c r="AL89" s="203"/>
      <c r="AM89" s="216"/>
      <c r="AN89" s="203"/>
      <c r="AO89" s="216"/>
      <c r="AP89" s="216"/>
      <c r="AQ89" s="203"/>
      <c r="AR89" s="203"/>
      <c r="AS89" s="203"/>
      <c r="AT89" s="205">
        <v>0</v>
      </c>
      <c r="AU89" s="180"/>
      <c r="AV89" s="180"/>
    </row>
    <row r="90" spans="1:48" ht="13.5" hidden="1" customHeight="1">
      <c r="A90" s="178">
        <v>510220</v>
      </c>
      <c r="B90" s="178">
        <v>51001220</v>
      </c>
      <c r="D90" s="201" t="s">
        <v>485</v>
      </c>
      <c r="E90" s="180" t="s">
        <v>370</v>
      </c>
      <c r="F90" s="202"/>
      <c r="G90" s="203"/>
      <c r="H90" s="203"/>
      <c r="I90" s="203"/>
      <c r="J90" s="203"/>
      <c r="K90" s="216"/>
      <c r="L90" s="203"/>
      <c r="M90" s="216"/>
      <c r="N90" s="216"/>
      <c r="O90" s="203"/>
      <c r="P90" s="203"/>
      <c r="Q90" s="203"/>
      <c r="R90" s="205">
        <v>0</v>
      </c>
      <c r="S90" s="180"/>
      <c r="T90" s="258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18">
        <v>0</v>
      </c>
      <c r="AG90" s="180"/>
      <c r="AH90" s="202"/>
      <c r="AI90" s="203"/>
      <c r="AJ90" s="203"/>
      <c r="AK90" s="203"/>
      <c r="AL90" s="203"/>
      <c r="AM90" s="216"/>
      <c r="AN90" s="203"/>
      <c r="AO90" s="216"/>
      <c r="AP90" s="216"/>
      <c r="AQ90" s="203"/>
      <c r="AR90" s="203"/>
      <c r="AS90" s="203"/>
      <c r="AT90" s="205">
        <v>0</v>
      </c>
      <c r="AU90" s="180"/>
      <c r="AV90" s="180"/>
    </row>
    <row r="91" spans="1:48" ht="13.5" hidden="1" customHeight="1">
      <c r="A91" s="178">
        <v>510230</v>
      </c>
      <c r="B91" s="178">
        <v>51001230</v>
      </c>
      <c r="D91" s="201" t="s">
        <v>486</v>
      </c>
      <c r="E91" s="180" t="s">
        <v>370</v>
      </c>
      <c r="F91" s="202"/>
      <c r="G91" s="203"/>
      <c r="H91" s="203"/>
      <c r="I91" s="203"/>
      <c r="J91" s="203"/>
      <c r="K91" s="216"/>
      <c r="L91" s="240"/>
      <c r="M91" s="216"/>
      <c r="N91" s="216"/>
      <c r="O91" s="203"/>
      <c r="P91" s="203"/>
      <c r="Q91" s="203"/>
      <c r="R91" s="205">
        <v>0</v>
      </c>
      <c r="S91" s="180"/>
      <c r="T91" s="258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18">
        <v>0</v>
      </c>
      <c r="AG91" s="180"/>
      <c r="AH91" s="202"/>
      <c r="AI91" s="203"/>
      <c r="AJ91" s="203"/>
      <c r="AK91" s="203"/>
      <c r="AL91" s="203"/>
      <c r="AM91" s="216"/>
      <c r="AN91" s="240"/>
      <c r="AO91" s="216"/>
      <c r="AP91" s="216"/>
      <c r="AQ91" s="203"/>
      <c r="AR91" s="203"/>
      <c r="AS91" s="203"/>
      <c r="AT91" s="205">
        <v>0</v>
      </c>
      <c r="AU91" s="180"/>
      <c r="AV91" s="180"/>
    </row>
    <row r="92" spans="1:48" ht="13.5" hidden="1" customHeight="1">
      <c r="A92" s="178">
        <v>510240</v>
      </c>
      <c r="B92" s="178">
        <v>51001240</v>
      </c>
      <c r="D92" s="201" t="s">
        <v>487</v>
      </c>
      <c r="E92" s="180" t="s">
        <v>370</v>
      </c>
      <c r="F92" s="202"/>
      <c r="G92" s="203"/>
      <c r="H92" s="203"/>
      <c r="I92" s="203"/>
      <c r="J92" s="203"/>
      <c r="K92" s="216"/>
      <c r="L92" s="203"/>
      <c r="M92" s="216"/>
      <c r="N92" s="216"/>
      <c r="O92" s="203"/>
      <c r="P92" s="203"/>
      <c r="Q92" s="203"/>
      <c r="R92" s="205">
        <v>0</v>
      </c>
      <c r="S92" s="180"/>
      <c r="T92" s="258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18">
        <v>0</v>
      </c>
      <c r="AG92" s="180"/>
      <c r="AH92" s="202"/>
      <c r="AI92" s="203"/>
      <c r="AJ92" s="203"/>
      <c r="AK92" s="203"/>
      <c r="AL92" s="203"/>
      <c r="AM92" s="216"/>
      <c r="AN92" s="203"/>
      <c r="AO92" s="216"/>
      <c r="AP92" s="216"/>
      <c r="AQ92" s="203"/>
      <c r="AR92" s="203"/>
      <c r="AS92" s="203"/>
      <c r="AT92" s="205">
        <v>0</v>
      </c>
      <c r="AU92" s="180"/>
      <c r="AV92" s="180"/>
    </row>
    <row r="93" spans="1:48" ht="13.5" hidden="1" customHeight="1">
      <c r="A93" s="178">
        <v>510250</v>
      </c>
      <c r="B93" s="178"/>
      <c r="D93" s="201" t="s">
        <v>488</v>
      </c>
      <c r="E93" s="180" t="s">
        <v>370</v>
      </c>
      <c r="F93" s="202"/>
      <c r="G93" s="203"/>
      <c r="H93" s="203"/>
      <c r="I93" s="203"/>
      <c r="J93" s="203"/>
      <c r="K93" s="216"/>
      <c r="L93" s="203"/>
      <c r="M93" s="216"/>
      <c r="N93" s="216"/>
      <c r="O93" s="203"/>
      <c r="P93" s="203"/>
      <c r="Q93" s="203"/>
      <c r="R93" s="205">
        <v>0</v>
      </c>
      <c r="S93" s="180"/>
      <c r="T93" s="258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18">
        <v>0</v>
      </c>
      <c r="AG93" s="180"/>
      <c r="AH93" s="202"/>
      <c r="AI93" s="203"/>
      <c r="AJ93" s="203"/>
      <c r="AK93" s="203"/>
      <c r="AL93" s="203"/>
      <c r="AM93" s="216"/>
      <c r="AN93" s="203"/>
      <c r="AO93" s="216"/>
      <c r="AP93" s="216"/>
      <c r="AQ93" s="203"/>
      <c r="AR93" s="203"/>
      <c r="AS93" s="203"/>
      <c r="AT93" s="205">
        <v>0</v>
      </c>
      <c r="AU93" s="180"/>
      <c r="AV93" s="180"/>
    </row>
    <row r="94" spans="1:48" ht="13.5" hidden="1" customHeight="1">
      <c r="A94" s="178">
        <v>510260</v>
      </c>
      <c r="B94" s="178">
        <v>51001260</v>
      </c>
      <c r="D94" s="201" t="s">
        <v>489</v>
      </c>
      <c r="E94" s="180" t="s">
        <v>370</v>
      </c>
      <c r="F94" s="202"/>
      <c r="G94" s="203"/>
      <c r="H94" s="203"/>
      <c r="I94" s="203"/>
      <c r="J94" s="203"/>
      <c r="K94" s="216"/>
      <c r="L94" s="203"/>
      <c r="M94" s="216"/>
      <c r="N94" s="216"/>
      <c r="O94" s="203"/>
      <c r="P94" s="203"/>
      <c r="Q94" s="203"/>
      <c r="R94" s="205">
        <v>0</v>
      </c>
      <c r="S94" s="180"/>
      <c r="T94" s="258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18">
        <v>0</v>
      </c>
      <c r="AG94" s="180"/>
      <c r="AH94" s="202"/>
      <c r="AI94" s="203"/>
      <c r="AJ94" s="203"/>
      <c r="AK94" s="203"/>
      <c r="AL94" s="203"/>
      <c r="AM94" s="216"/>
      <c r="AN94" s="203"/>
      <c r="AO94" s="216"/>
      <c r="AP94" s="216"/>
      <c r="AQ94" s="203"/>
      <c r="AR94" s="203"/>
      <c r="AS94" s="203"/>
      <c r="AT94" s="205">
        <v>0</v>
      </c>
      <c r="AU94" s="180"/>
      <c r="AV94" s="180"/>
    </row>
    <row r="95" spans="1:48" ht="13.5" hidden="1" customHeight="1">
      <c r="A95" s="254">
        <v>510270</v>
      </c>
      <c r="B95" s="254">
        <v>51001270</v>
      </c>
      <c r="D95" s="185" t="s">
        <v>490</v>
      </c>
      <c r="E95" s="180" t="s">
        <v>370</v>
      </c>
      <c r="F95" s="186"/>
      <c r="G95" s="187"/>
      <c r="H95" s="187"/>
      <c r="I95" s="187"/>
      <c r="J95" s="187"/>
      <c r="K95" s="216"/>
      <c r="L95" s="187"/>
      <c r="M95" s="216"/>
      <c r="N95" s="216"/>
      <c r="O95" s="187"/>
      <c r="P95" s="187"/>
      <c r="Q95" s="187"/>
      <c r="R95" s="189">
        <v>0</v>
      </c>
      <c r="S95" s="180"/>
      <c r="T95" s="258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18">
        <v>0</v>
      </c>
      <c r="AG95" s="180"/>
      <c r="AH95" s="186"/>
      <c r="AI95" s="187"/>
      <c r="AJ95" s="187"/>
      <c r="AK95" s="187"/>
      <c r="AL95" s="187"/>
      <c r="AM95" s="216"/>
      <c r="AN95" s="187"/>
      <c r="AO95" s="216"/>
      <c r="AP95" s="216"/>
      <c r="AQ95" s="187"/>
      <c r="AR95" s="187"/>
      <c r="AS95" s="187"/>
      <c r="AT95" s="189">
        <v>0</v>
      </c>
      <c r="AU95" s="180"/>
      <c r="AV95" s="180"/>
    </row>
    <row r="96" spans="1:48" ht="13.5" hidden="1" customHeight="1">
      <c r="A96" s="227"/>
      <c r="B96" s="227"/>
      <c r="D96" s="228" t="s">
        <v>491</v>
      </c>
      <c r="E96" s="229" t="s">
        <v>370</v>
      </c>
      <c r="F96" s="230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4">
        <v>0</v>
      </c>
      <c r="S96" s="229"/>
      <c r="T96" s="230">
        <v>0</v>
      </c>
      <c r="U96" s="231">
        <v>0</v>
      </c>
      <c r="V96" s="231">
        <v>0</v>
      </c>
      <c r="W96" s="231">
        <v>0</v>
      </c>
      <c r="X96" s="231">
        <v>0</v>
      </c>
      <c r="Y96" s="231">
        <v>0</v>
      </c>
      <c r="Z96" s="231">
        <v>0</v>
      </c>
      <c r="AA96" s="231">
        <v>0</v>
      </c>
      <c r="AB96" s="231">
        <v>0</v>
      </c>
      <c r="AC96" s="231">
        <v>0</v>
      </c>
      <c r="AD96" s="231">
        <v>0</v>
      </c>
      <c r="AE96" s="231">
        <v>0</v>
      </c>
      <c r="AF96" s="232">
        <v>0</v>
      </c>
      <c r="AG96" s="229"/>
      <c r="AH96" s="230">
        <v>0</v>
      </c>
      <c r="AI96" s="231">
        <v>0</v>
      </c>
      <c r="AJ96" s="231">
        <v>0</v>
      </c>
      <c r="AK96" s="231">
        <v>0</v>
      </c>
      <c r="AL96" s="231">
        <v>0</v>
      </c>
      <c r="AM96" s="231">
        <v>0</v>
      </c>
      <c r="AN96" s="231">
        <v>0</v>
      </c>
      <c r="AO96" s="231">
        <v>0</v>
      </c>
      <c r="AP96" s="231">
        <v>0</v>
      </c>
      <c r="AQ96" s="231">
        <v>0</v>
      </c>
      <c r="AR96" s="231">
        <v>0</v>
      </c>
      <c r="AS96" s="231">
        <v>0</v>
      </c>
      <c r="AT96" s="234">
        <v>0</v>
      </c>
      <c r="AU96" s="229"/>
      <c r="AV96" s="229"/>
    </row>
    <row r="97" spans="1:48" ht="13.5" hidden="1" customHeight="1">
      <c r="A97" s="206"/>
      <c r="B97" s="244"/>
      <c r="D97" s="245" t="s">
        <v>492</v>
      </c>
      <c r="E97" s="161" t="s">
        <v>370</v>
      </c>
      <c r="F97" s="246">
        <v>-1800558.45</v>
      </c>
      <c r="G97" s="247">
        <v>-1687553.15</v>
      </c>
      <c r="H97" s="247">
        <v>-1650680.11</v>
      </c>
      <c r="I97" s="247">
        <v>0</v>
      </c>
      <c r="J97" s="247">
        <v>0</v>
      </c>
      <c r="K97" s="247">
        <v>0</v>
      </c>
      <c r="L97" s="247">
        <v>0</v>
      </c>
      <c r="M97" s="247">
        <v>0</v>
      </c>
      <c r="N97" s="247">
        <v>0</v>
      </c>
      <c r="O97" s="247">
        <v>0</v>
      </c>
      <c r="P97" s="247">
        <v>0</v>
      </c>
      <c r="Q97" s="247">
        <v>0</v>
      </c>
      <c r="R97" s="248">
        <v>-5138791.71</v>
      </c>
      <c r="S97" s="161"/>
      <c r="T97" s="246">
        <v>-1763149.03025952</v>
      </c>
      <c r="U97" s="247">
        <v>-1763149.03025952</v>
      </c>
      <c r="V97" s="247">
        <v>-1863149.03025952</v>
      </c>
      <c r="W97" s="247">
        <v>-1749853.3231166699</v>
      </c>
      <c r="X97" s="247">
        <v>-1749853.3231166699</v>
      </c>
      <c r="Y97" s="247">
        <v>-1749853.3231166699</v>
      </c>
      <c r="Z97" s="247">
        <v>-1628271.2170344801</v>
      </c>
      <c r="AA97" s="247">
        <v>-1616976.6039392401</v>
      </c>
      <c r="AB97" s="247">
        <v>-1616976.6039392401</v>
      </c>
      <c r="AC97" s="247">
        <v>-1616976.6039392401</v>
      </c>
      <c r="AD97" s="247">
        <v>-1616976.6039392401</v>
      </c>
      <c r="AE97" s="247">
        <v>-1616976.6039392401</v>
      </c>
      <c r="AF97" s="248">
        <v>-5389447.0907785697</v>
      </c>
      <c r="AG97" s="161"/>
      <c r="AH97" s="246">
        <v>-2027329.47</v>
      </c>
      <c r="AI97" s="247">
        <v>-2029836.77</v>
      </c>
      <c r="AJ97" s="247">
        <v>-2121962.7799999998</v>
      </c>
      <c r="AK97" s="247">
        <v>-2057535.24</v>
      </c>
      <c r="AL97" s="247">
        <v>-2049779.15</v>
      </c>
      <c r="AM97" s="247">
        <v>-1967265.76</v>
      </c>
      <c r="AN97" s="247">
        <v>-1997879.59</v>
      </c>
      <c r="AO97" s="247">
        <v>-2026977.87</v>
      </c>
      <c r="AP97" s="247">
        <v>-1833355.9</v>
      </c>
      <c r="AQ97" s="247">
        <v>-1847779.27</v>
      </c>
      <c r="AR97" s="247">
        <v>-1847643.63</v>
      </c>
      <c r="AS97" s="247">
        <v>-1483739.61</v>
      </c>
      <c r="AT97" s="248">
        <v>-23291085.039999999</v>
      </c>
      <c r="AU97" s="161"/>
      <c r="AV97" s="161"/>
    </row>
    <row r="98" spans="1:48" ht="13.5" hidden="1" customHeight="1">
      <c r="A98" s="178">
        <v>520110</v>
      </c>
      <c r="B98" s="178">
        <v>51002110</v>
      </c>
      <c r="D98" s="201" t="s">
        <v>493</v>
      </c>
      <c r="E98" s="180" t="s">
        <v>370</v>
      </c>
      <c r="F98" s="202">
        <v>-40882.89</v>
      </c>
      <c r="G98" s="203">
        <v>-26122.5</v>
      </c>
      <c r="H98" s="203">
        <v>-31134</v>
      </c>
      <c r="I98" s="203"/>
      <c r="J98" s="203"/>
      <c r="K98" s="216"/>
      <c r="L98" s="203"/>
      <c r="M98" s="203"/>
      <c r="N98" s="203"/>
      <c r="O98" s="203"/>
      <c r="P98" s="203"/>
      <c r="Q98" s="203"/>
      <c r="R98" s="205">
        <v>-98139.39</v>
      </c>
      <c r="S98" s="180"/>
      <c r="T98" s="220">
        <v>-40401.562222222201</v>
      </c>
      <c r="U98" s="221">
        <v>-40401.562222222201</v>
      </c>
      <c r="V98" s="221">
        <v>-40401.562222222201</v>
      </c>
      <c r="W98" s="221">
        <v>-40401.562222222201</v>
      </c>
      <c r="X98" s="221">
        <v>-40401.562222222201</v>
      </c>
      <c r="Y98" s="221">
        <v>-40401.562222222201</v>
      </c>
      <c r="Z98" s="221">
        <v>-40401.562222222201</v>
      </c>
      <c r="AA98" s="221">
        <v>-40401.562222222201</v>
      </c>
      <c r="AB98" s="221">
        <v>-40401.562222222201</v>
      </c>
      <c r="AC98" s="221">
        <v>-40401.562222222201</v>
      </c>
      <c r="AD98" s="221">
        <v>-40401.562222222201</v>
      </c>
      <c r="AE98" s="221">
        <v>-40401.562222222201</v>
      </c>
      <c r="AF98" s="218">
        <v>-121204.686666667</v>
      </c>
      <c r="AG98" s="180"/>
      <c r="AH98" s="202">
        <v>-25693.49</v>
      </c>
      <c r="AI98" s="203">
        <v>-49232.160000000003</v>
      </c>
      <c r="AJ98" s="203">
        <v>-50828.06</v>
      </c>
      <c r="AK98" s="203">
        <v>-27579.99</v>
      </c>
      <c r="AL98" s="203">
        <v>-19178.490000000002</v>
      </c>
      <c r="AM98" s="216">
        <v>-13165.56</v>
      </c>
      <c r="AN98" s="203">
        <v>-34794.9</v>
      </c>
      <c r="AO98" s="219">
        <v>-59074.080000000002</v>
      </c>
      <c r="AP98" s="203">
        <v>-46319.5</v>
      </c>
      <c r="AQ98" s="203">
        <v>-3207</v>
      </c>
      <c r="AR98" s="203">
        <v>-16203.02</v>
      </c>
      <c r="AS98" s="203">
        <v>-16509.62</v>
      </c>
      <c r="AT98" s="205">
        <v>-361785.87</v>
      </c>
      <c r="AU98" s="180"/>
      <c r="AV98" s="180"/>
    </row>
    <row r="99" spans="1:48" ht="13.5" hidden="1" customHeight="1">
      <c r="A99" s="178">
        <v>520120</v>
      </c>
      <c r="B99" s="178">
        <v>51002120</v>
      </c>
      <c r="D99" s="201" t="s">
        <v>494</v>
      </c>
      <c r="E99" s="180" t="s">
        <v>370</v>
      </c>
      <c r="F99" s="202">
        <v>-28.63</v>
      </c>
      <c r="G99" s="203"/>
      <c r="H99" s="203"/>
      <c r="I99" s="203"/>
      <c r="J99" s="203"/>
      <c r="K99" s="216"/>
      <c r="L99" s="203"/>
      <c r="M99" s="203"/>
      <c r="N99" s="203"/>
      <c r="O99" s="203"/>
      <c r="P99" s="203"/>
      <c r="Q99" s="203"/>
      <c r="R99" s="205">
        <v>-28.63</v>
      </c>
      <c r="S99" s="180"/>
      <c r="T99" s="220">
        <v>-513.41138888888895</v>
      </c>
      <c r="U99" s="221">
        <v>-513.41138888888895</v>
      </c>
      <c r="V99" s="221">
        <v>-513.41138888888895</v>
      </c>
      <c r="W99" s="221">
        <v>-513.41138888888895</v>
      </c>
      <c r="X99" s="221">
        <v>-513.41138888888895</v>
      </c>
      <c r="Y99" s="221">
        <v>-513.41138888888895</v>
      </c>
      <c r="Z99" s="221">
        <v>-513.41138888888895</v>
      </c>
      <c r="AA99" s="221">
        <v>-513.41138888888895</v>
      </c>
      <c r="AB99" s="221">
        <v>-513.41138888888895</v>
      </c>
      <c r="AC99" s="221">
        <v>-513.41138888888895</v>
      </c>
      <c r="AD99" s="221">
        <v>-513.41138888888895</v>
      </c>
      <c r="AE99" s="221">
        <v>-513.41138888888895</v>
      </c>
      <c r="AF99" s="218">
        <v>-1540.23416666667</v>
      </c>
      <c r="AG99" s="180"/>
      <c r="AH99" s="202">
        <v>-119.9</v>
      </c>
      <c r="AI99" s="203">
        <v>-110</v>
      </c>
      <c r="AJ99" s="203">
        <v>-825.1</v>
      </c>
      <c r="AK99" s="203">
        <v>-604.70000000000005</v>
      </c>
      <c r="AL99" s="203">
        <v>-249.7</v>
      </c>
      <c r="AM99" s="216">
        <v>-891</v>
      </c>
      <c r="AN99" s="203">
        <v>-1030.22</v>
      </c>
      <c r="AO99" s="203">
        <v>-247.72</v>
      </c>
      <c r="AP99" s="203">
        <v>-124</v>
      </c>
      <c r="AQ99" s="203">
        <v>-124</v>
      </c>
      <c r="AR99" s="203">
        <v>-124</v>
      </c>
      <c r="AS99" s="203">
        <v>-495</v>
      </c>
      <c r="AT99" s="205">
        <v>-4945.34</v>
      </c>
      <c r="AU99" s="180"/>
      <c r="AV99" s="180"/>
    </row>
    <row r="100" spans="1:48" ht="13.5" hidden="1" customHeight="1">
      <c r="A100" s="178">
        <v>520130</v>
      </c>
      <c r="B100" s="178">
        <v>51002140</v>
      </c>
      <c r="D100" s="201" t="s">
        <v>495</v>
      </c>
      <c r="E100" s="180" t="s">
        <v>370</v>
      </c>
      <c r="F100" s="202">
        <v>-9675</v>
      </c>
      <c r="G100" s="203"/>
      <c r="H100" s="203"/>
      <c r="I100" s="203"/>
      <c r="J100" s="203"/>
      <c r="K100" s="216"/>
      <c r="L100" s="203"/>
      <c r="M100" s="203"/>
      <c r="N100" s="203"/>
      <c r="O100" s="203"/>
      <c r="P100" s="203"/>
      <c r="Q100" s="203"/>
      <c r="R100" s="205">
        <v>-9675</v>
      </c>
      <c r="S100" s="180"/>
      <c r="T100" s="220">
        <v>-14040.1229166667</v>
      </c>
      <c r="U100" s="221">
        <v>-14040.1229166667</v>
      </c>
      <c r="V100" s="221">
        <v>-14040.1229166667</v>
      </c>
      <c r="W100" s="221">
        <v>-14040.1229166667</v>
      </c>
      <c r="X100" s="221">
        <v>-14040.1229166667</v>
      </c>
      <c r="Y100" s="221">
        <v>-14040.1229166667</v>
      </c>
      <c r="Z100" s="221">
        <v>-14040.1229166667</v>
      </c>
      <c r="AA100" s="221">
        <v>-14040.1229166667</v>
      </c>
      <c r="AB100" s="221">
        <v>-14040.1229166667</v>
      </c>
      <c r="AC100" s="221">
        <v>-14040.1229166667</v>
      </c>
      <c r="AD100" s="221">
        <v>-14040.1229166667</v>
      </c>
      <c r="AE100" s="221">
        <v>-14040.1229166667</v>
      </c>
      <c r="AF100" s="218">
        <v>-42120.368750000001</v>
      </c>
      <c r="AG100" s="180"/>
      <c r="AH100" s="202"/>
      <c r="AI100" s="203"/>
      <c r="AJ100" s="203">
        <v>-22902.75</v>
      </c>
      <c r="AK100" s="203">
        <v>-5038</v>
      </c>
      <c r="AL100" s="203"/>
      <c r="AM100" s="216">
        <v>-215</v>
      </c>
      <c r="AN100" s="203">
        <v>-33532.75</v>
      </c>
      <c r="AO100" s="219">
        <v>-36864</v>
      </c>
      <c r="AP100" s="203">
        <v>-1219.01</v>
      </c>
      <c r="AQ100" s="203">
        <v>-1411.99</v>
      </c>
      <c r="AR100" s="203">
        <v>-2160</v>
      </c>
      <c r="AS100" s="203">
        <v>-5210.5</v>
      </c>
      <c r="AT100" s="205">
        <v>-108554</v>
      </c>
      <c r="AU100" s="180"/>
      <c r="AV100" s="180"/>
    </row>
    <row r="101" spans="1:48" ht="13.5" hidden="1" customHeight="1">
      <c r="A101" s="178">
        <v>520140</v>
      </c>
      <c r="B101" s="178">
        <v>51002150</v>
      </c>
      <c r="D101" s="201" t="s">
        <v>496</v>
      </c>
      <c r="E101" s="180" t="s">
        <v>370</v>
      </c>
      <c r="F101" s="202">
        <v>-7640.16</v>
      </c>
      <c r="G101" s="203">
        <v>-4611.17</v>
      </c>
      <c r="H101" s="203">
        <v>-12389.58</v>
      </c>
      <c r="I101" s="203"/>
      <c r="J101" s="203"/>
      <c r="K101" s="216"/>
      <c r="L101" s="203"/>
      <c r="M101" s="203"/>
      <c r="N101" s="203"/>
      <c r="O101" s="203"/>
      <c r="P101" s="203"/>
      <c r="Q101" s="203"/>
      <c r="R101" s="205">
        <v>-24640.91</v>
      </c>
      <c r="S101" s="180"/>
      <c r="T101" s="220">
        <v>-7798.4379166666704</v>
      </c>
      <c r="U101" s="221">
        <v>-7798.4379166666704</v>
      </c>
      <c r="V101" s="221">
        <v>-7798.4379166666704</v>
      </c>
      <c r="W101" s="221">
        <v>-7798.4379166666704</v>
      </c>
      <c r="X101" s="221">
        <v>-7798.4379166666704</v>
      </c>
      <c r="Y101" s="221">
        <v>-7798.4379166666704</v>
      </c>
      <c r="Z101" s="221">
        <v>-7798.4379166666704</v>
      </c>
      <c r="AA101" s="221">
        <v>-7798.4379166666704</v>
      </c>
      <c r="AB101" s="221">
        <v>-7798.4379166666704</v>
      </c>
      <c r="AC101" s="221">
        <v>-7798.4379166666704</v>
      </c>
      <c r="AD101" s="221">
        <v>-7798.4379166666704</v>
      </c>
      <c r="AE101" s="221">
        <v>-7798.4379166666704</v>
      </c>
      <c r="AF101" s="218">
        <v>-23395.313750000001</v>
      </c>
      <c r="AG101" s="180"/>
      <c r="AH101" s="202">
        <v>-3607.64</v>
      </c>
      <c r="AI101" s="203">
        <v>-7373.48</v>
      </c>
      <c r="AJ101" s="203">
        <v>-7898.92</v>
      </c>
      <c r="AK101" s="203">
        <v>-1521.96</v>
      </c>
      <c r="AL101" s="203">
        <v>-6342.29</v>
      </c>
      <c r="AM101" s="216">
        <v>-1677.3</v>
      </c>
      <c r="AN101" s="203">
        <v>-15390.49</v>
      </c>
      <c r="AO101" s="203">
        <v>-10103.549999999999</v>
      </c>
      <c r="AP101" s="203">
        <v>-4543.7299999999996</v>
      </c>
      <c r="AQ101" s="203">
        <v>-383.77</v>
      </c>
      <c r="AR101" s="203">
        <v>-16388.16</v>
      </c>
      <c r="AS101" s="203">
        <v>-5046.0600000000004</v>
      </c>
      <c r="AT101" s="205">
        <v>-80277.350000000006</v>
      </c>
      <c r="AU101" s="180"/>
      <c r="AV101" s="180"/>
    </row>
    <row r="102" spans="1:48" ht="13.5" hidden="1" customHeight="1">
      <c r="A102" s="178"/>
      <c r="B102" s="178"/>
      <c r="D102" s="201" t="s">
        <v>497</v>
      </c>
      <c r="E102" s="180"/>
      <c r="F102" s="202">
        <v>-13024</v>
      </c>
      <c r="G102" s="203">
        <v>-17389</v>
      </c>
      <c r="H102" s="203">
        <v>-3675</v>
      </c>
      <c r="I102" s="203"/>
      <c r="J102" s="203"/>
      <c r="K102" s="216"/>
      <c r="L102" s="203"/>
      <c r="M102" s="203"/>
      <c r="N102" s="203"/>
      <c r="O102" s="203"/>
      <c r="P102" s="203"/>
      <c r="Q102" s="203"/>
      <c r="R102" s="205">
        <v>-34088</v>
      </c>
      <c r="S102" s="180"/>
      <c r="T102" s="220">
        <v>-5901.1502777777796</v>
      </c>
      <c r="U102" s="221">
        <v>-5901.1502777777796</v>
      </c>
      <c r="V102" s="221">
        <v>-5901.1502777777796</v>
      </c>
      <c r="W102" s="221">
        <v>-5901.1502777777796</v>
      </c>
      <c r="X102" s="221">
        <v>-5901.1502777777796</v>
      </c>
      <c r="Y102" s="221">
        <v>-5901.1502777777796</v>
      </c>
      <c r="Z102" s="221">
        <v>-5901.1502777777796</v>
      </c>
      <c r="AA102" s="221">
        <v>-5901.1502777777796</v>
      </c>
      <c r="AB102" s="221">
        <v>-5901.1502777777796</v>
      </c>
      <c r="AC102" s="221">
        <v>-5901.1502777777796</v>
      </c>
      <c r="AD102" s="221">
        <v>-5901.1502777777796</v>
      </c>
      <c r="AE102" s="221">
        <v>-5901.1502777777796</v>
      </c>
      <c r="AF102" s="218"/>
      <c r="AG102" s="180"/>
      <c r="AH102" s="202"/>
      <c r="AI102" s="203"/>
      <c r="AJ102" s="203"/>
      <c r="AK102" s="203">
        <v>-3958</v>
      </c>
      <c r="AL102" s="203">
        <v>-4350</v>
      </c>
      <c r="AM102" s="216"/>
      <c r="AN102" s="203">
        <v>-101.2</v>
      </c>
      <c r="AO102" s="203">
        <v>-6714.78</v>
      </c>
      <c r="AP102" s="203">
        <v>-26768</v>
      </c>
      <c r="AQ102" s="203">
        <v>-15602.17</v>
      </c>
      <c r="AR102" s="203">
        <v>-358</v>
      </c>
      <c r="AS102" s="203"/>
      <c r="AT102" s="205">
        <v>-57852.15</v>
      </c>
      <c r="AU102" s="180"/>
      <c r="AV102" s="180"/>
    </row>
    <row r="103" spans="1:48" ht="13.5" hidden="1" customHeight="1">
      <c r="A103" s="178">
        <v>520150</v>
      </c>
      <c r="B103" s="178">
        <v>51002160</v>
      </c>
      <c r="D103" s="201" t="s">
        <v>498</v>
      </c>
      <c r="E103" s="180" t="s">
        <v>370</v>
      </c>
      <c r="F103" s="202"/>
      <c r="G103" s="203">
        <v>-1515.72</v>
      </c>
      <c r="H103" s="203">
        <v>-215.5</v>
      </c>
      <c r="I103" s="203"/>
      <c r="J103" s="203"/>
      <c r="K103" s="216"/>
      <c r="L103" s="203"/>
      <c r="M103" s="203"/>
      <c r="N103" s="203"/>
      <c r="O103" s="203"/>
      <c r="P103" s="203"/>
      <c r="Q103" s="203"/>
      <c r="R103" s="205">
        <v>-1731.22</v>
      </c>
      <c r="S103" s="180"/>
      <c r="T103" s="220">
        <v>-5435.5834722222198</v>
      </c>
      <c r="U103" s="221">
        <v>-5435.5834722222198</v>
      </c>
      <c r="V103" s="221">
        <v>-5435.5834722222198</v>
      </c>
      <c r="W103" s="221">
        <v>-5435.5834722222198</v>
      </c>
      <c r="X103" s="221">
        <v>-5435.5834722222198</v>
      </c>
      <c r="Y103" s="221">
        <v>-5435.5834722222198</v>
      </c>
      <c r="Z103" s="221">
        <v>-5435.5834722222198</v>
      </c>
      <c r="AA103" s="221">
        <v>-5435.5834722222198</v>
      </c>
      <c r="AB103" s="221">
        <v>-5435.5834722222198</v>
      </c>
      <c r="AC103" s="221">
        <v>-5435.5834722222198</v>
      </c>
      <c r="AD103" s="221">
        <v>-5435.5834722222198</v>
      </c>
      <c r="AE103" s="221">
        <v>-5435.5834722222198</v>
      </c>
      <c r="AF103" s="218">
        <v>-16306.7504166667</v>
      </c>
      <c r="AG103" s="180"/>
      <c r="AH103" s="202">
        <v>-1976.5</v>
      </c>
      <c r="AI103" s="203">
        <v>-2439.9499999999998</v>
      </c>
      <c r="AJ103" s="203">
        <v>-7511</v>
      </c>
      <c r="AK103" s="203">
        <v>-2098.25</v>
      </c>
      <c r="AL103" s="203">
        <v>-792</v>
      </c>
      <c r="AM103" s="216">
        <v>-2077.9699999999998</v>
      </c>
      <c r="AN103" s="203">
        <v>-706.5</v>
      </c>
      <c r="AO103" s="203">
        <v>-1858.42</v>
      </c>
      <c r="AP103" s="203">
        <v>-13881.43</v>
      </c>
      <c r="AQ103" s="203">
        <v>-1037.5</v>
      </c>
      <c r="AR103" s="203">
        <v>-2430.75</v>
      </c>
      <c r="AS103" s="203">
        <v>-1483.38</v>
      </c>
      <c r="AT103" s="205">
        <v>-38293.65</v>
      </c>
      <c r="AU103" s="180"/>
      <c r="AV103" s="180"/>
    </row>
    <row r="104" spans="1:48" ht="13.5" hidden="1" customHeight="1">
      <c r="A104" s="178">
        <v>520160</v>
      </c>
      <c r="B104" s="178">
        <v>51002170</v>
      </c>
      <c r="D104" s="201" t="s">
        <v>499</v>
      </c>
      <c r="E104" s="180" t="s">
        <v>370</v>
      </c>
      <c r="F104" s="202">
        <v>-237112.42</v>
      </c>
      <c r="G104" s="203">
        <v>-196851.56</v>
      </c>
      <c r="H104" s="203">
        <v>-139848.14000000001</v>
      </c>
      <c r="I104" s="203"/>
      <c r="J104" s="203"/>
      <c r="K104" s="216"/>
      <c r="L104" s="203"/>
      <c r="M104" s="203"/>
      <c r="N104" s="203"/>
      <c r="O104" s="203"/>
      <c r="P104" s="203"/>
      <c r="Q104" s="203"/>
      <c r="R104" s="205">
        <v>-573812.12</v>
      </c>
      <c r="S104" s="180"/>
      <c r="T104" s="220">
        <v>-167095.23809523799</v>
      </c>
      <c r="U104" s="221">
        <v>-167095.23809523799</v>
      </c>
      <c r="V104" s="221">
        <v>-167095.23809523799</v>
      </c>
      <c r="W104" s="221">
        <v>-169095.23809523799</v>
      </c>
      <c r="X104" s="221">
        <v>-169095.23809523799</v>
      </c>
      <c r="Y104" s="221">
        <v>-169095.23809523799</v>
      </c>
      <c r="Z104" s="221">
        <v>-171095.23809523799</v>
      </c>
      <c r="AA104" s="221">
        <v>-171095.23809523799</v>
      </c>
      <c r="AB104" s="221">
        <v>-171095.23809523799</v>
      </c>
      <c r="AC104" s="221">
        <v>-173095.23809523799</v>
      </c>
      <c r="AD104" s="221">
        <v>-173095.23809523799</v>
      </c>
      <c r="AE104" s="221">
        <v>-173095.23809523799</v>
      </c>
      <c r="AF104" s="218">
        <v>-501285.71428571403</v>
      </c>
      <c r="AG104" s="180"/>
      <c r="AH104" s="202">
        <v>-14400</v>
      </c>
      <c r="AI104" s="203"/>
      <c r="AJ104" s="203">
        <v>-12173.91</v>
      </c>
      <c r="AK104" s="203">
        <v>-10500</v>
      </c>
      <c r="AL104" s="203"/>
      <c r="AM104" s="216"/>
      <c r="AN104" s="203">
        <v>-17500</v>
      </c>
      <c r="AO104" s="260">
        <v>-68226.649999999994</v>
      </c>
      <c r="AP104" s="219">
        <v>-199315.92</v>
      </c>
      <c r="AQ104" s="219">
        <v>-207406.42</v>
      </c>
      <c r="AR104" s="203">
        <v>-221149.65</v>
      </c>
      <c r="AS104" s="203">
        <v>-180176.86</v>
      </c>
      <c r="AT104" s="205">
        <v>-930849.41</v>
      </c>
      <c r="AU104" s="180"/>
      <c r="AV104" s="180"/>
    </row>
    <row r="105" spans="1:48" ht="13.5" hidden="1" customHeight="1">
      <c r="A105" s="178">
        <v>520170</v>
      </c>
      <c r="B105" s="178">
        <v>51002180</v>
      </c>
      <c r="D105" s="201" t="s">
        <v>500</v>
      </c>
      <c r="E105" s="180" t="s">
        <v>370</v>
      </c>
      <c r="F105" s="202">
        <v>-29575.72</v>
      </c>
      <c r="G105" s="203">
        <v>-28070.9</v>
      </c>
      <c r="H105" s="203">
        <v>-25692.75</v>
      </c>
      <c r="I105" s="203"/>
      <c r="J105" s="203"/>
      <c r="K105" s="216"/>
      <c r="L105" s="203"/>
      <c r="M105" s="203"/>
      <c r="N105" s="203"/>
      <c r="O105" s="203"/>
      <c r="P105" s="203"/>
      <c r="Q105" s="203"/>
      <c r="R105" s="205">
        <v>-83339.37</v>
      </c>
      <c r="S105" s="180"/>
      <c r="T105" s="220">
        <v>-14233.333333333299</v>
      </c>
      <c r="U105" s="221">
        <v>-14233.333333333299</v>
      </c>
      <c r="V105" s="221">
        <v>-14233.333333333299</v>
      </c>
      <c r="W105" s="221">
        <v>-14233.333333333299</v>
      </c>
      <c r="X105" s="221">
        <v>-14233.333333333299</v>
      </c>
      <c r="Y105" s="221">
        <v>-14233.333333333299</v>
      </c>
      <c r="Z105" s="221">
        <v>-14233.333333333299</v>
      </c>
      <c r="AA105" s="221">
        <v>-14233.333333333299</v>
      </c>
      <c r="AB105" s="221">
        <v>-14233.333333333299</v>
      </c>
      <c r="AC105" s="221">
        <v>-14233.333333333299</v>
      </c>
      <c r="AD105" s="221">
        <v>-14233.333333333299</v>
      </c>
      <c r="AE105" s="221">
        <v>-14233.333333333299</v>
      </c>
      <c r="AF105" s="218">
        <v>-42700</v>
      </c>
      <c r="AG105" s="180"/>
      <c r="AH105" s="202">
        <v>-800</v>
      </c>
      <c r="AI105" s="203"/>
      <c r="AJ105" s="203"/>
      <c r="AK105" s="203"/>
      <c r="AL105" s="203"/>
      <c r="AM105" s="216"/>
      <c r="AN105" s="203"/>
      <c r="AO105" s="203">
        <v>-15087.88</v>
      </c>
      <c r="AP105" s="203">
        <v>-2160</v>
      </c>
      <c r="AQ105" s="203"/>
      <c r="AR105" s="203">
        <v>-6660</v>
      </c>
      <c r="AS105" s="203">
        <v>-9700</v>
      </c>
      <c r="AT105" s="205">
        <v>-34407.879999999997</v>
      </c>
      <c r="AU105" s="180"/>
      <c r="AV105" s="180"/>
    </row>
    <row r="106" spans="1:48" ht="13.5" hidden="1" customHeight="1">
      <c r="A106" s="178">
        <v>520180</v>
      </c>
      <c r="B106" s="178">
        <v>51002200</v>
      </c>
      <c r="D106" s="201" t="s">
        <v>501</v>
      </c>
      <c r="E106" s="180" t="s">
        <v>370</v>
      </c>
      <c r="F106" s="202">
        <v>-21209.29</v>
      </c>
      <c r="G106" s="203">
        <v>-17565.18</v>
      </c>
      <c r="H106" s="203">
        <v>-29004.26</v>
      </c>
      <c r="I106" s="203"/>
      <c r="J106" s="203"/>
      <c r="K106" s="216"/>
      <c r="L106" s="203"/>
      <c r="M106" s="203"/>
      <c r="N106" s="203"/>
      <c r="O106" s="203"/>
      <c r="P106" s="203"/>
      <c r="Q106" s="203"/>
      <c r="R106" s="205">
        <v>-67778.73</v>
      </c>
      <c r="S106" s="180"/>
      <c r="T106" s="220">
        <v>-28497.071250000001</v>
      </c>
      <c r="U106" s="221">
        <v>-22017.458549999999</v>
      </c>
      <c r="V106" s="221">
        <v>-22017.458549999999</v>
      </c>
      <c r="W106" s="221">
        <v>-22017.458549999999</v>
      </c>
      <c r="X106" s="221">
        <v>-23217.458549999999</v>
      </c>
      <c r="Y106" s="221">
        <v>-23717.458549999999</v>
      </c>
      <c r="Z106" s="221">
        <v>-23217.458549999999</v>
      </c>
      <c r="AA106" s="221">
        <v>-23217.458549999999</v>
      </c>
      <c r="AB106" s="221">
        <v>-22017.458549999999</v>
      </c>
      <c r="AC106" s="221">
        <v>-23217.458549999999</v>
      </c>
      <c r="AD106" s="221">
        <v>-23217.458549999999</v>
      </c>
      <c r="AE106" s="221">
        <v>-22017.458549999999</v>
      </c>
      <c r="AF106" s="218">
        <v>-72531.98835</v>
      </c>
      <c r="AG106" s="180"/>
      <c r="AH106" s="202">
        <v>-12566.86</v>
      </c>
      <c r="AI106" s="203">
        <v>-46749.5</v>
      </c>
      <c r="AJ106" s="203">
        <v>-16827.09</v>
      </c>
      <c r="AK106" s="203">
        <v>-18754.7</v>
      </c>
      <c r="AL106" s="203">
        <v>-20754.939999999999</v>
      </c>
      <c r="AM106" s="216">
        <v>-28205.42</v>
      </c>
      <c r="AN106" s="203">
        <v>-45114.74</v>
      </c>
      <c r="AO106" s="203">
        <v>-46671.29</v>
      </c>
      <c r="AP106" s="203">
        <v>-32126.959999999999</v>
      </c>
      <c r="AQ106" s="203">
        <v>-24648.32</v>
      </c>
      <c r="AR106" s="203">
        <v>-33072.01</v>
      </c>
      <c r="AS106" s="203">
        <v>-47484.75</v>
      </c>
      <c r="AT106" s="205">
        <v>-372976.58</v>
      </c>
      <c r="AU106" s="180"/>
      <c r="AV106" s="180"/>
    </row>
    <row r="107" spans="1:48" ht="13.5" hidden="1" customHeight="1">
      <c r="A107" s="178">
        <v>520190</v>
      </c>
      <c r="B107" s="178">
        <v>51002230</v>
      </c>
      <c r="D107" s="201" t="s">
        <v>502</v>
      </c>
      <c r="E107" s="180" t="s">
        <v>370</v>
      </c>
      <c r="M107" s="203"/>
      <c r="N107" s="203"/>
      <c r="O107" s="203"/>
      <c r="P107" s="203"/>
      <c r="Q107" s="203"/>
      <c r="R107" s="205">
        <v>0</v>
      </c>
      <c r="S107" s="180"/>
      <c r="T107" s="220">
        <v>-1126.75555555556</v>
      </c>
      <c r="U107" s="221">
        <v>-1126.75555555556</v>
      </c>
      <c r="V107" s="221">
        <v>-1126.75555555556</v>
      </c>
      <c r="W107" s="221">
        <v>-1126.75555555556</v>
      </c>
      <c r="X107" s="221">
        <v>-1126.75555555556</v>
      </c>
      <c r="Y107" s="221">
        <v>-1126.75555555556</v>
      </c>
      <c r="Z107" s="221">
        <v>-1126.75555555556</v>
      </c>
      <c r="AA107" s="221">
        <v>-1126.75555555556</v>
      </c>
      <c r="AB107" s="221">
        <v>-1126.75555555556</v>
      </c>
      <c r="AC107" s="221">
        <v>-1126.75555555556</v>
      </c>
      <c r="AD107" s="221">
        <v>-1126.75555555556</v>
      </c>
      <c r="AE107" s="221">
        <v>-1126.75555555556</v>
      </c>
      <c r="AF107" s="218">
        <v>-3380.2666666666701</v>
      </c>
      <c r="AG107" s="180"/>
      <c r="AO107" s="203">
        <v>-1841.21</v>
      </c>
      <c r="AP107" s="203"/>
      <c r="AQ107" s="203"/>
      <c r="AR107" s="203"/>
      <c r="AS107" s="203">
        <v>-50700.99</v>
      </c>
      <c r="AT107" s="205">
        <v>-52542.2</v>
      </c>
      <c r="AU107" s="180"/>
      <c r="AV107" s="180"/>
    </row>
    <row r="108" spans="1:48" ht="13.5" hidden="1" customHeight="1">
      <c r="A108" s="178">
        <v>520200</v>
      </c>
      <c r="B108" s="178">
        <v>51002240</v>
      </c>
      <c r="D108" s="201" t="s">
        <v>503</v>
      </c>
      <c r="E108" s="180" t="s">
        <v>370</v>
      </c>
      <c r="F108" s="202">
        <v>-30150</v>
      </c>
      <c r="G108" s="203">
        <v>-7078</v>
      </c>
      <c r="H108" s="203">
        <v>-59985</v>
      </c>
      <c r="I108" s="203"/>
      <c r="J108" s="203"/>
      <c r="K108" s="216"/>
      <c r="L108" s="203"/>
      <c r="M108" s="223"/>
      <c r="N108" s="203"/>
      <c r="O108" s="203"/>
      <c r="P108" s="203"/>
      <c r="Q108" s="203"/>
      <c r="R108" s="205">
        <v>-97213</v>
      </c>
      <c r="S108" s="180"/>
      <c r="T108" s="220">
        <v>-77783.55</v>
      </c>
      <c r="U108" s="221">
        <v>-77783.55</v>
      </c>
      <c r="V108" s="221">
        <v>-77783.55</v>
      </c>
      <c r="W108" s="221">
        <v>-77783.55</v>
      </c>
      <c r="X108" s="221">
        <v>-77783.55</v>
      </c>
      <c r="Y108" s="221">
        <v>-77783.55</v>
      </c>
      <c r="Z108" s="221">
        <v>-77783.55</v>
      </c>
      <c r="AA108" s="221">
        <v>-77783.55</v>
      </c>
      <c r="AB108" s="221">
        <v>-77783.55</v>
      </c>
      <c r="AC108" s="221">
        <v>-77783.55</v>
      </c>
      <c r="AD108" s="221">
        <v>-77783.55</v>
      </c>
      <c r="AE108" s="221">
        <v>-77783.55</v>
      </c>
      <c r="AF108" s="218">
        <v>-233350.65</v>
      </c>
      <c r="AG108" s="180"/>
      <c r="AH108" s="202">
        <v>-24700</v>
      </c>
      <c r="AI108" s="203">
        <v>-44819.58</v>
      </c>
      <c r="AJ108" s="203">
        <v>-74240</v>
      </c>
      <c r="AK108" s="203">
        <v>-60110.96</v>
      </c>
      <c r="AL108" s="203">
        <v>-58587.040000000001</v>
      </c>
      <c r="AM108" s="216">
        <v>-67300</v>
      </c>
      <c r="AN108" s="203">
        <v>-56019.45</v>
      </c>
      <c r="AO108" s="226">
        <v>-166770</v>
      </c>
      <c r="AP108" s="203">
        <v>-74682.5</v>
      </c>
      <c r="AQ108" s="203">
        <v>-37300</v>
      </c>
      <c r="AR108" s="203">
        <v>-24550</v>
      </c>
      <c r="AS108" s="203">
        <v>-49775</v>
      </c>
      <c r="AT108" s="205">
        <v>-738854.53</v>
      </c>
      <c r="AU108" s="180"/>
      <c r="AV108" s="180"/>
    </row>
    <row r="109" spans="1:48" ht="13.5" hidden="1" customHeight="1">
      <c r="A109" s="178">
        <v>520210</v>
      </c>
      <c r="B109" s="178"/>
      <c r="D109" s="201" t="s">
        <v>504</v>
      </c>
      <c r="E109" s="180" t="s">
        <v>370</v>
      </c>
      <c r="F109" s="202"/>
      <c r="G109" s="203"/>
      <c r="H109" s="203"/>
      <c r="I109" s="203"/>
      <c r="J109" s="203"/>
      <c r="K109" s="216"/>
      <c r="L109" s="203"/>
      <c r="M109" s="203"/>
      <c r="N109" s="203"/>
      <c r="O109" s="203"/>
      <c r="P109" s="203"/>
      <c r="Q109" s="203"/>
      <c r="R109" s="205">
        <v>0</v>
      </c>
      <c r="S109" s="180"/>
      <c r="T109" s="220">
        <v>0</v>
      </c>
      <c r="U109" s="221">
        <v>0</v>
      </c>
      <c r="V109" s="221">
        <v>0</v>
      </c>
      <c r="W109" s="221">
        <v>0</v>
      </c>
      <c r="X109" s="221">
        <v>0</v>
      </c>
      <c r="Y109" s="221">
        <v>0</v>
      </c>
      <c r="Z109" s="221">
        <v>0</v>
      </c>
      <c r="AA109" s="221">
        <v>0</v>
      </c>
      <c r="AB109" s="221">
        <v>0</v>
      </c>
      <c r="AC109" s="221">
        <v>0</v>
      </c>
      <c r="AD109" s="221">
        <v>0</v>
      </c>
      <c r="AE109" s="221">
        <v>0</v>
      </c>
      <c r="AF109" s="218">
        <v>0</v>
      </c>
      <c r="AG109" s="180"/>
      <c r="AH109" s="202"/>
      <c r="AI109" s="203"/>
      <c r="AJ109" s="203"/>
      <c r="AK109" s="203"/>
      <c r="AL109" s="203"/>
      <c r="AM109" s="216"/>
      <c r="AN109" s="203"/>
      <c r="AO109" s="203"/>
      <c r="AP109" s="203"/>
      <c r="AQ109" s="203"/>
      <c r="AR109" s="203"/>
      <c r="AS109" s="203">
        <v>-294164</v>
      </c>
      <c r="AT109" s="205">
        <v>-294164</v>
      </c>
      <c r="AU109" s="180"/>
      <c r="AV109" s="180"/>
    </row>
    <row r="110" spans="1:48" ht="13.5" hidden="1" customHeight="1">
      <c r="A110" s="178">
        <v>520220</v>
      </c>
      <c r="B110" s="178">
        <v>51002250</v>
      </c>
      <c r="D110" s="201" t="s">
        <v>505</v>
      </c>
      <c r="E110" s="180" t="s">
        <v>370</v>
      </c>
      <c r="F110" s="202"/>
      <c r="G110" s="203">
        <v>-60000</v>
      </c>
      <c r="H110" s="203">
        <v>-40000</v>
      </c>
      <c r="I110" s="203"/>
      <c r="J110" s="203"/>
      <c r="K110" s="216"/>
      <c r="L110" s="203"/>
      <c r="M110" s="203"/>
      <c r="N110" s="203"/>
      <c r="O110" s="203"/>
      <c r="P110" s="203"/>
      <c r="Q110" s="203"/>
      <c r="R110" s="205">
        <v>-100000</v>
      </c>
      <c r="S110" s="180"/>
      <c r="T110" s="220">
        <v>0</v>
      </c>
      <c r="U110" s="221">
        <v>0</v>
      </c>
      <c r="V110" s="221">
        <v>0</v>
      </c>
      <c r="W110" s="221">
        <v>0</v>
      </c>
      <c r="X110" s="221">
        <v>0</v>
      </c>
      <c r="Y110" s="221">
        <v>0</v>
      </c>
      <c r="Z110" s="221">
        <v>0</v>
      </c>
      <c r="AA110" s="221">
        <v>0</v>
      </c>
      <c r="AB110" s="221">
        <v>0</v>
      </c>
      <c r="AC110" s="221">
        <v>0</v>
      </c>
      <c r="AD110" s="221">
        <v>0</v>
      </c>
      <c r="AE110" s="221">
        <v>0</v>
      </c>
      <c r="AF110" s="218">
        <v>0</v>
      </c>
      <c r="AG110" s="180"/>
      <c r="AH110" s="202"/>
      <c r="AI110" s="203"/>
      <c r="AJ110" s="203"/>
      <c r="AK110" s="203"/>
      <c r="AL110" s="203"/>
      <c r="AM110" s="216"/>
      <c r="AN110" s="203"/>
      <c r="AO110" s="203"/>
      <c r="AP110" s="203"/>
      <c r="AQ110" s="203"/>
      <c r="AR110" s="203"/>
      <c r="AS110" s="203"/>
      <c r="AT110" s="205">
        <v>0</v>
      </c>
      <c r="AU110" s="180"/>
      <c r="AV110" s="180"/>
    </row>
    <row r="111" spans="1:48" ht="13.5" hidden="1" customHeight="1">
      <c r="A111" s="178">
        <v>520250</v>
      </c>
      <c r="B111" s="178">
        <v>51002260</v>
      </c>
      <c r="D111" s="201" t="s">
        <v>506</v>
      </c>
      <c r="E111" s="180" t="s">
        <v>370</v>
      </c>
      <c r="F111" s="202">
        <v>-35046.1</v>
      </c>
      <c r="G111" s="203">
        <v>-16124.41</v>
      </c>
      <c r="H111" s="203">
        <v>-25011.759999999998</v>
      </c>
      <c r="I111" s="203"/>
      <c r="J111" s="203"/>
      <c r="K111" s="216"/>
      <c r="L111" s="203"/>
      <c r="M111" s="223"/>
      <c r="N111" s="203"/>
      <c r="O111" s="203"/>
      <c r="P111" s="203"/>
      <c r="Q111" s="203"/>
      <c r="R111" s="205">
        <v>-76182.27</v>
      </c>
      <c r="S111" s="180"/>
      <c r="T111" s="220">
        <v>-69164.574166666702</v>
      </c>
      <c r="U111" s="221">
        <v>-68741.374166666705</v>
      </c>
      <c r="V111" s="221">
        <v>-68741.374166666705</v>
      </c>
      <c r="W111" s="221">
        <v>-68741.374166666705</v>
      </c>
      <c r="X111" s="221">
        <v>-68741.374166666705</v>
      </c>
      <c r="Y111" s="221">
        <v>-68741.374166666705</v>
      </c>
      <c r="Z111" s="221">
        <v>-68741.374166666705</v>
      </c>
      <c r="AA111" s="221">
        <v>-69892.104166666701</v>
      </c>
      <c r="AB111" s="221">
        <v>-69186.044166666703</v>
      </c>
      <c r="AC111" s="221">
        <v>-68759.945595238096</v>
      </c>
      <c r="AD111" s="221">
        <v>-68759.945595238096</v>
      </c>
      <c r="AE111" s="221">
        <v>-68759.945595238096</v>
      </c>
      <c r="AF111" s="218">
        <v>-206647.32250000001</v>
      </c>
      <c r="AG111" s="180"/>
      <c r="AH111" s="202">
        <v>-76059.23</v>
      </c>
      <c r="AI111" s="203">
        <v>-82625.649999999994</v>
      </c>
      <c r="AJ111" s="203">
        <v>-90485.82</v>
      </c>
      <c r="AK111" s="203">
        <v>-68906.14</v>
      </c>
      <c r="AL111" s="203">
        <v>-38218.82</v>
      </c>
      <c r="AM111" s="216">
        <v>-31920.68</v>
      </c>
      <c r="AN111" s="203">
        <v>-42751.02</v>
      </c>
      <c r="AO111" s="226">
        <v>-130198.57</v>
      </c>
      <c r="AP111" s="219">
        <v>-136328.59</v>
      </c>
      <c r="AQ111" s="203">
        <v>-85063.87</v>
      </c>
      <c r="AR111" s="203">
        <v>-61266.99</v>
      </c>
      <c r="AS111" s="203">
        <v>-66541.66</v>
      </c>
      <c r="AT111" s="205">
        <v>-910367.04</v>
      </c>
      <c r="AU111" s="180"/>
      <c r="AV111" s="180"/>
    </row>
    <row r="112" spans="1:48" ht="13.5" hidden="1" customHeight="1">
      <c r="A112" s="178">
        <v>520250</v>
      </c>
      <c r="B112" s="178">
        <v>51002270</v>
      </c>
      <c r="D112" s="201" t="s">
        <v>507</v>
      </c>
      <c r="E112" s="180" t="s">
        <v>370</v>
      </c>
      <c r="F112" s="202">
        <v>-20030.939999999999</v>
      </c>
      <c r="G112" s="203">
        <v>-15671.88</v>
      </c>
      <c r="H112" s="203">
        <v>-21710.86</v>
      </c>
      <c r="I112" s="203"/>
      <c r="J112" s="203"/>
      <c r="K112" s="216"/>
      <c r="L112" s="203"/>
      <c r="M112" s="203"/>
      <c r="N112" s="203"/>
      <c r="O112" s="203"/>
      <c r="P112" s="203"/>
      <c r="Q112" s="203"/>
      <c r="R112" s="205">
        <v>-57413.68</v>
      </c>
      <c r="S112" s="180"/>
      <c r="T112" s="220">
        <v>-36952.870039682501</v>
      </c>
      <c r="U112" s="221">
        <v>-36952.870039682501</v>
      </c>
      <c r="V112" s="221">
        <v>-36952.870039682501</v>
      </c>
      <c r="W112" s="221">
        <v>-40349.870039682501</v>
      </c>
      <c r="X112" s="221">
        <v>-42026.870039682501</v>
      </c>
      <c r="Y112" s="221">
        <v>-38586.870039682501</v>
      </c>
      <c r="Z112" s="221">
        <v>-36952.870039682501</v>
      </c>
      <c r="AA112" s="221">
        <v>-36952.870039682501</v>
      </c>
      <c r="AB112" s="221">
        <v>-36952.870039682501</v>
      </c>
      <c r="AC112" s="221">
        <v>-37058.584325396798</v>
      </c>
      <c r="AD112" s="221">
        <v>-37058.584325396798</v>
      </c>
      <c r="AE112" s="221">
        <v>-37058.584325396798</v>
      </c>
      <c r="AF112" s="218">
        <v>-110858.610119048</v>
      </c>
      <c r="AG112" s="180"/>
      <c r="AH112" s="202">
        <v>-13636.2</v>
      </c>
      <c r="AI112" s="203">
        <v>-42447.13</v>
      </c>
      <c r="AJ112" s="203">
        <v>-32719.27</v>
      </c>
      <c r="AK112" s="203">
        <v>-16962.5</v>
      </c>
      <c r="AL112" s="203">
        <v>-50318.9</v>
      </c>
      <c r="AM112" s="216">
        <v>-11462.7</v>
      </c>
      <c r="AN112" s="203">
        <v>-50492.42</v>
      </c>
      <c r="AO112" s="203">
        <v>-41935.58</v>
      </c>
      <c r="AP112" s="203">
        <v>-33283.120000000003</v>
      </c>
      <c r="AQ112" s="203">
        <v>-48743.68</v>
      </c>
      <c r="AR112" s="203">
        <v>-35042.800000000003</v>
      </c>
      <c r="AS112" s="203">
        <v>-12734.5</v>
      </c>
      <c r="AT112" s="205">
        <v>-389778.8</v>
      </c>
      <c r="AU112" s="180"/>
      <c r="AV112" s="180"/>
    </row>
    <row r="113" spans="1:48" ht="13.5" hidden="1" customHeight="1">
      <c r="A113" s="178">
        <v>520250</v>
      </c>
      <c r="B113" s="178">
        <v>51002280</v>
      </c>
      <c r="D113" s="201" t="s">
        <v>508</v>
      </c>
      <c r="E113" s="180" t="s">
        <v>370</v>
      </c>
      <c r="F113" s="202">
        <v>-300251.84999999998</v>
      </c>
      <c r="G113" s="203">
        <v>-301936.58</v>
      </c>
      <c r="H113" s="203">
        <v>-255308.13</v>
      </c>
      <c r="I113" s="203"/>
      <c r="J113" s="203"/>
      <c r="K113" s="216"/>
      <c r="L113" s="203"/>
      <c r="M113" s="223"/>
      <c r="N113" s="223"/>
      <c r="O113" s="203"/>
      <c r="P113" s="203"/>
      <c r="Q113" s="203"/>
      <c r="R113" s="205">
        <v>-857496.56</v>
      </c>
      <c r="S113" s="180"/>
      <c r="T113" s="220">
        <v>-452032.37772619002</v>
      </c>
      <c r="U113" s="221">
        <v>-452032.37772619002</v>
      </c>
      <c r="V113" s="221">
        <v>-452032.37772619002</v>
      </c>
      <c r="W113" s="221">
        <v>-452032.37772619002</v>
      </c>
      <c r="X113" s="221">
        <v>-452032.37772619002</v>
      </c>
      <c r="Y113" s="221">
        <v>-452032.37772619002</v>
      </c>
      <c r="Z113" s="221">
        <v>-452228.37772619002</v>
      </c>
      <c r="AA113" s="221">
        <v>-452228.37772619002</v>
      </c>
      <c r="AB113" s="221">
        <v>-452228.37772619002</v>
      </c>
      <c r="AC113" s="221">
        <v>-452228.37772619002</v>
      </c>
      <c r="AD113" s="221">
        <v>-452228.37772619002</v>
      </c>
      <c r="AE113" s="221">
        <v>-452228.37772619002</v>
      </c>
      <c r="AF113" s="261">
        <v>-1356097.1331785701</v>
      </c>
      <c r="AG113" s="180"/>
      <c r="AH113" s="202">
        <v>-316594.34999999998</v>
      </c>
      <c r="AI113" s="203">
        <v>-345623.15</v>
      </c>
      <c r="AJ113" s="203">
        <v>-301006.27</v>
      </c>
      <c r="AK113" s="203">
        <v>-339711.96</v>
      </c>
      <c r="AL113" s="203">
        <v>-363037.31</v>
      </c>
      <c r="AM113" s="216">
        <v>-379602.7</v>
      </c>
      <c r="AN113" s="203">
        <v>-450205.83</v>
      </c>
      <c r="AO113" s="226">
        <v>-372682.07</v>
      </c>
      <c r="AP113" s="226">
        <v>-449933.21</v>
      </c>
      <c r="AQ113" s="203">
        <v>-264702.57</v>
      </c>
      <c r="AR113" s="203">
        <v>-300462.96999999997</v>
      </c>
      <c r="AS113" s="203">
        <v>-332756.44</v>
      </c>
      <c r="AT113" s="205">
        <v>-4216318.83</v>
      </c>
      <c r="AU113" s="180"/>
      <c r="AV113" s="180"/>
    </row>
    <row r="114" spans="1:48" ht="13.5" hidden="1" customHeight="1">
      <c r="A114" s="178">
        <v>520260</v>
      </c>
      <c r="B114" s="178">
        <v>51002310</v>
      </c>
      <c r="D114" s="201" t="s">
        <v>509</v>
      </c>
      <c r="E114" s="180" t="s">
        <v>370</v>
      </c>
      <c r="F114" s="202">
        <v>-11399.83</v>
      </c>
      <c r="G114" s="203">
        <v>-36732.51</v>
      </c>
      <c r="H114" s="203">
        <v>-7560.26</v>
      </c>
      <c r="I114" s="203"/>
      <c r="J114" s="203"/>
      <c r="K114" s="216"/>
      <c r="L114" s="203"/>
      <c r="M114" s="203"/>
      <c r="N114" s="203"/>
      <c r="O114" s="203"/>
      <c r="P114" s="203"/>
      <c r="Q114" s="203"/>
      <c r="R114" s="205">
        <v>-55692.6</v>
      </c>
      <c r="S114" s="180"/>
      <c r="T114" s="220">
        <v>-28136.106805555599</v>
      </c>
      <c r="U114" s="221">
        <v>-28136.106805555599</v>
      </c>
      <c r="V114" s="221">
        <v>-28136.106805555599</v>
      </c>
      <c r="W114" s="221">
        <v>-28136.106805555599</v>
      </c>
      <c r="X114" s="221">
        <v>-28136.106805555599</v>
      </c>
      <c r="Y114" s="221">
        <v>-28136.106805555599</v>
      </c>
      <c r="Z114" s="221">
        <v>-28136.106805555599</v>
      </c>
      <c r="AA114" s="221">
        <v>-28136.106805555599</v>
      </c>
      <c r="AB114" s="221">
        <v>-28136.106805555599</v>
      </c>
      <c r="AC114" s="221">
        <v>-28136.106805555599</v>
      </c>
      <c r="AD114" s="221">
        <v>-28136.106805555599</v>
      </c>
      <c r="AE114" s="221">
        <v>-28136.106805555599</v>
      </c>
      <c r="AF114" s="218">
        <v>-84408.320416666698</v>
      </c>
      <c r="AG114" s="180"/>
      <c r="AH114" s="202"/>
      <c r="AI114" s="203">
        <v>-31862.5</v>
      </c>
      <c r="AJ114" s="203">
        <v>-50654.81</v>
      </c>
      <c r="AK114" s="203">
        <v>-2580.09</v>
      </c>
      <c r="AL114" s="203">
        <v>-3731.05</v>
      </c>
      <c r="AM114" s="216">
        <v>-72477.75</v>
      </c>
      <c r="AN114" s="203">
        <v>-16530.95</v>
      </c>
      <c r="AO114" s="219">
        <v>-77172.31</v>
      </c>
      <c r="AP114" s="203">
        <v>-22405.85</v>
      </c>
      <c r="AQ114" s="203">
        <v>-17357.45</v>
      </c>
      <c r="AR114" s="203">
        <v>-115691.46</v>
      </c>
      <c r="AS114" s="203">
        <v>-72749.240000000005</v>
      </c>
      <c r="AT114" s="205">
        <v>-483213.46</v>
      </c>
      <c r="AU114" s="180"/>
      <c r="AV114" s="180"/>
    </row>
    <row r="115" spans="1:48" ht="13.5" hidden="1" customHeight="1">
      <c r="A115" s="178">
        <v>520270</v>
      </c>
      <c r="B115" s="178">
        <v>51002330</v>
      </c>
      <c r="D115" s="201" t="s">
        <v>510</v>
      </c>
      <c r="E115" s="180" t="s">
        <v>370</v>
      </c>
      <c r="F115" s="202">
        <v>-4820</v>
      </c>
      <c r="G115" s="203">
        <v>-25690</v>
      </c>
      <c r="H115" s="203"/>
      <c r="I115" s="203"/>
      <c r="J115" s="203"/>
      <c r="K115" s="216"/>
      <c r="L115" s="203"/>
      <c r="M115" s="203"/>
      <c r="N115" s="203"/>
      <c r="O115" s="203"/>
      <c r="P115" s="203"/>
      <c r="Q115" s="203"/>
      <c r="R115" s="205">
        <v>-30510</v>
      </c>
      <c r="S115" s="180"/>
      <c r="T115" s="220">
        <v>-4379.625</v>
      </c>
      <c r="U115" s="221">
        <v>-4379.625</v>
      </c>
      <c r="V115" s="221">
        <v>-4379.625</v>
      </c>
      <c r="W115" s="221">
        <v>-4379.625</v>
      </c>
      <c r="X115" s="221">
        <v>-4379.625</v>
      </c>
      <c r="Y115" s="221">
        <v>-4379.625</v>
      </c>
      <c r="Z115" s="221">
        <v>-4379.625</v>
      </c>
      <c r="AA115" s="221">
        <v>-4379.625</v>
      </c>
      <c r="AB115" s="221">
        <v>-4379.625</v>
      </c>
      <c r="AC115" s="221">
        <v>-4379.625</v>
      </c>
      <c r="AD115" s="221">
        <v>-4379.625</v>
      </c>
      <c r="AE115" s="221">
        <v>-4379.625</v>
      </c>
      <c r="AF115" s="218">
        <v>-13138.875</v>
      </c>
      <c r="AG115" s="180"/>
      <c r="AH115" s="202"/>
      <c r="AI115" s="203"/>
      <c r="AJ115" s="203"/>
      <c r="AK115" s="203"/>
      <c r="AL115" s="203"/>
      <c r="AM115" s="216"/>
      <c r="AN115" s="203"/>
      <c r="AO115" s="203"/>
      <c r="AP115" s="203">
        <v>-237</v>
      </c>
      <c r="AQ115" s="203"/>
      <c r="AR115" s="203">
        <v>-14525</v>
      </c>
      <c r="AS115" s="203"/>
      <c r="AT115" s="205">
        <v>-14762</v>
      </c>
      <c r="AU115" s="180"/>
      <c r="AV115" s="180"/>
    </row>
    <row r="116" spans="1:48" ht="13.5" hidden="1" customHeight="1">
      <c r="A116" s="178">
        <v>520280</v>
      </c>
      <c r="B116" s="178"/>
      <c r="D116" s="201" t="s">
        <v>511</v>
      </c>
      <c r="E116" s="180" t="s">
        <v>370</v>
      </c>
      <c r="F116" s="202"/>
      <c r="G116" s="203"/>
      <c r="H116" s="203"/>
      <c r="I116" s="203"/>
      <c r="J116" s="203"/>
      <c r="K116" s="216"/>
      <c r="L116" s="203"/>
      <c r="M116" s="203"/>
      <c r="N116" s="203"/>
      <c r="O116" s="203"/>
      <c r="P116" s="203"/>
      <c r="Q116" s="203"/>
      <c r="R116" s="205">
        <v>0</v>
      </c>
      <c r="S116" s="180"/>
      <c r="T116" s="220">
        <v>-6689.4444444444398</v>
      </c>
      <c r="U116" s="221">
        <v>-6689.4444444444398</v>
      </c>
      <c r="V116" s="221">
        <v>-6689.4444444444398</v>
      </c>
      <c r="W116" s="221">
        <v>-6689.4444444444398</v>
      </c>
      <c r="X116" s="221">
        <v>-6689.4444444444398</v>
      </c>
      <c r="Y116" s="221">
        <v>-6689.4444444444398</v>
      </c>
      <c r="Z116" s="221">
        <v>-6689.4444444444398</v>
      </c>
      <c r="AA116" s="221">
        <v>-6689.4444444444398</v>
      </c>
      <c r="AB116" s="221">
        <v>-6689.4444444444398</v>
      </c>
      <c r="AC116" s="221">
        <v>-6689.4444444444398</v>
      </c>
      <c r="AD116" s="221">
        <v>-6689.4444444444398</v>
      </c>
      <c r="AE116" s="221">
        <v>-6689.4444444444398</v>
      </c>
      <c r="AF116" s="218">
        <v>-20068.333333333299</v>
      </c>
      <c r="AG116" s="180"/>
      <c r="AH116" s="202">
        <v>-12410</v>
      </c>
      <c r="AI116" s="203"/>
      <c r="AJ116" s="203"/>
      <c r="AK116" s="203"/>
      <c r="AL116" s="203"/>
      <c r="AM116" s="216"/>
      <c r="AN116" s="203"/>
      <c r="AO116" s="203"/>
      <c r="AP116" s="203"/>
      <c r="AQ116" s="203"/>
      <c r="AR116" s="203"/>
      <c r="AS116" s="203"/>
      <c r="AT116" s="205">
        <v>-12410</v>
      </c>
      <c r="AU116" s="180"/>
      <c r="AV116" s="180"/>
    </row>
    <row r="117" spans="1:48" ht="13.5" hidden="1" customHeight="1">
      <c r="A117" s="178">
        <v>520290</v>
      </c>
      <c r="B117" s="178">
        <v>51002340</v>
      </c>
      <c r="D117" s="201" t="s">
        <v>512</v>
      </c>
      <c r="E117" s="180" t="s">
        <v>370</v>
      </c>
      <c r="F117" s="202">
        <v>-63026.32</v>
      </c>
      <c r="G117" s="203">
        <v>-63360.05</v>
      </c>
      <c r="H117" s="203">
        <v>-42870.67</v>
      </c>
      <c r="I117" s="203"/>
      <c r="J117" s="203"/>
      <c r="K117" s="216"/>
      <c r="L117" s="203"/>
      <c r="M117" s="223"/>
      <c r="N117" s="203"/>
      <c r="O117" s="203"/>
      <c r="P117" s="203"/>
      <c r="Q117" s="203"/>
      <c r="R117" s="205">
        <v>-169257.04</v>
      </c>
      <c r="S117" s="180"/>
      <c r="T117" s="220">
        <v>-94007.244222222202</v>
      </c>
      <c r="U117" s="221">
        <v>-94944.934222222204</v>
      </c>
      <c r="V117" s="221">
        <v>-93423.674222222195</v>
      </c>
      <c r="W117" s="221">
        <v>-93423.674222222195</v>
      </c>
      <c r="X117" s="221">
        <v>-93423.674222222195</v>
      </c>
      <c r="Y117" s="221">
        <v>-93423.674222222195</v>
      </c>
      <c r="Z117" s="221">
        <v>-79923.674222222195</v>
      </c>
      <c r="AA117" s="221">
        <v>-79923.674222222195</v>
      </c>
      <c r="AB117" s="221">
        <v>-85207.674222222195</v>
      </c>
      <c r="AC117" s="221">
        <v>-79923.674222222195</v>
      </c>
      <c r="AD117" s="221">
        <v>-80507.244222222202</v>
      </c>
      <c r="AE117" s="221">
        <v>-81444.934222222204</v>
      </c>
      <c r="AF117" s="218">
        <v>-282375.85266666702</v>
      </c>
      <c r="AG117" s="180"/>
      <c r="AH117" s="202">
        <v>-64360.67</v>
      </c>
      <c r="AI117" s="203">
        <v>-52891.05</v>
      </c>
      <c r="AJ117" s="203">
        <v>-216356.96</v>
      </c>
      <c r="AK117" s="203">
        <v>-132903.49</v>
      </c>
      <c r="AL117" s="203">
        <v>-253104.36</v>
      </c>
      <c r="AM117" s="216">
        <v>-51838.84</v>
      </c>
      <c r="AN117" s="203">
        <v>-83663.850000000006</v>
      </c>
      <c r="AO117" s="226">
        <v>-137582.81</v>
      </c>
      <c r="AP117" s="203">
        <v>-96774.96</v>
      </c>
      <c r="AQ117" s="203">
        <v>-49997.85</v>
      </c>
      <c r="AR117" s="203">
        <v>-89537.51</v>
      </c>
      <c r="AS117" s="203">
        <v>-95135.35</v>
      </c>
      <c r="AT117" s="205">
        <v>-1324147.7</v>
      </c>
      <c r="AU117" s="180"/>
      <c r="AV117" s="180"/>
    </row>
    <row r="118" spans="1:48" ht="13.5" hidden="1" customHeight="1">
      <c r="A118" s="178">
        <v>520300</v>
      </c>
      <c r="B118" s="178"/>
      <c r="D118" s="201" t="s">
        <v>513</v>
      </c>
      <c r="E118" s="180" t="s">
        <v>370</v>
      </c>
      <c r="F118" s="202">
        <v>-28503.200000000001</v>
      </c>
      <c r="G118" s="203">
        <v>-52392.9</v>
      </c>
      <c r="H118" s="203">
        <v>-40973.339999999997</v>
      </c>
      <c r="I118" s="203"/>
      <c r="J118" s="203"/>
      <c r="K118" s="216"/>
      <c r="L118" s="203"/>
      <c r="M118" s="203"/>
      <c r="N118" s="203"/>
      <c r="O118" s="203"/>
      <c r="P118" s="203"/>
      <c r="Q118" s="203"/>
      <c r="R118" s="205">
        <v>-121869.44</v>
      </c>
      <c r="S118" s="180"/>
      <c r="T118" s="220">
        <v>-51085</v>
      </c>
      <c r="U118" s="221">
        <v>-51085</v>
      </c>
      <c r="V118" s="221">
        <v>-51085</v>
      </c>
      <c r="W118" s="221">
        <v>-51085</v>
      </c>
      <c r="X118" s="221">
        <v>-51085</v>
      </c>
      <c r="Y118" s="221">
        <v>-51085</v>
      </c>
      <c r="Z118" s="221">
        <v>-51085</v>
      </c>
      <c r="AA118" s="221">
        <v>-51085</v>
      </c>
      <c r="AB118" s="221">
        <v>-51085</v>
      </c>
      <c r="AC118" s="221">
        <v>-51085</v>
      </c>
      <c r="AD118" s="221">
        <v>-51085</v>
      </c>
      <c r="AE118" s="221">
        <v>-51085</v>
      </c>
      <c r="AF118" s="218">
        <v>-153255</v>
      </c>
      <c r="AG118" s="180"/>
      <c r="AH118" s="202"/>
      <c r="AI118" s="203"/>
      <c r="AJ118" s="203"/>
      <c r="AK118" s="203"/>
      <c r="AL118" s="203"/>
      <c r="AM118" s="216"/>
      <c r="AN118" s="203"/>
      <c r="AO118" s="203"/>
      <c r="AP118" s="203"/>
      <c r="AQ118" s="203"/>
      <c r="AR118" s="203"/>
      <c r="AS118" s="203"/>
      <c r="AT118" s="205">
        <v>0</v>
      </c>
      <c r="AU118" s="180"/>
      <c r="AV118" s="180"/>
    </row>
    <row r="119" spans="1:48" ht="13.5" hidden="1" customHeight="1">
      <c r="A119" s="178">
        <v>520310</v>
      </c>
      <c r="B119" s="178">
        <v>51002410</v>
      </c>
      <c r="D119" s="201" t="s">
        <v>514</v>
      </c>
      <c r="E119" s="180" t="s">
        <v>370</v>
      </c>
      <c r="F119" s="202">
        <v>-584</v>
      </c>
      <c r="G119" s="203">
        <v>-1395.23</v>
      </c>
      <c r="H119" s="203">
        <v>-3809.22</v>
      </c>
      <c r="I119" s="203"/>
      <c r="J119" s="203"/>
      <c r="K119" s="216"/>
      <c r="L119" s="203"/>
      <c r="M119" s="203"/>
      <c r="N119" s="203"/>
      <c r="O119" s="203"/>
      <c r="P119" s="203"/>
      <c r="Q119" s="203"/>
      <c r="R119" s="205">
        <v>-5788.45</v>
      </c>
      <c r="S119" s="180"/>
      <c r="T119" s="220">
        <v>-1897.99125</v>
      </c>
      <c r="U119" s="221">
        <v>-1897.99125</v>
      </c>
      <c r="V119" s="221">
        <v>-1897.99125</v>
      </c>
      <c r="W119" s="221">
        <v>-1897.99125</v>
      </c>
      <c r="X119" s="221">
        <v>-1897.99125</v>
      </c>
      <c r="Y119" s="221">
        <v>-1897.99125</v>
      </c>
      <c r="Z119" s="221">
        <v>-1897.99125</v>
      </c>
      <c r="AA119" s="221">
        <v>-1897.99125</v>
      </c>
      <c r="AB119" s="221">
        <v>-1897.99125</v>
      </c>
      <c r="AC119" s="221">
        <v>-1897.99125</v>
      </c>
      <c r="AD119" s="221">
        <v>-1897.99125</v>
      </c>
      <c r="AE119" s="221">
        <v>-1897.99125</v>
      </c>
      <c r="AF119" s="218">
        <v>-5693.9737500000001</v>
      </c>
      <c r="AG119" s="180"/>
      <c r="AH119" s="202">
        <v>-678.1</v>
      </c>
      <c r="AI119" s="203">
        <v>-1290</v>
      </c>
      <c r="AJ119" s="203">
        <v>-377.81</v>
      </c>
      <c r="AK119" s="203">
        <v>-1345.81</v>
      </c>
      <c r="AL119" s="203">
        <v>-323.29000000000002</v>
      </c>
      <c r="AM119" s="216">
        <v>-1678.66</v>
      </c>
      <c r="AN119" s="203">
        <v>-5868.38</v>
      </c>
      <c r="AO119" s="203">
        <v>-2320.16</v>
      </c>
      <c r="AP119" s="203">
        <v>-4310.96</v>
      </c>
      <c r="AQ119" s="203">
        <v>-1107.01</v>
      </c>
      <c r="AR119" s="203">
        <v>-2023.06</v>
      </c>
      <c r="AS119" s="203">
        <v>-666.22</v>
      </c>
      <c r="AT119" s="205">
        <v>-21989.46</v>
      </c>
      <c r="AU119" s="180"/>
      <c r="AV119" s="180"/>
    </row>
    <row r="120" spans="1:48" ht="13.5" hidden="1" customHeight="1">
      <c r="A120" s="178">
        <v>520320</v>
      </c>
      <c r="B120" s="178">
        <v>51002420</v>
      </c>
      <c r="D120" s="201" t="s">
        <v>515</v>
      </c>
      <c r="E120" s="180" t="s">
        <v>370</v>
      </c>
      <c r="F120" s="202">
        <v>-44428.27</v>
      </c>
      <c r="G120" s="203">
        <v>-9249.32</v>
      </c>
      <c r="H120" s="203">
        <v>-26970.48</v>
      </c>
      <c r="I120" s="203"/>
      <c r="J120" s="203"/>
      <c r="K120" s="216"/>
      <c r="L120" s="203"/>
      <c r="M120" s="223"/>
      <c r="N120" s="223"/>
      <c r="O120" s="203"/>
      <c r="P120" s="203"/>
      <c r="Q120" s="203"/>
      <c r="R120" s="205">
        <v>-80648.070000000007</v>
      </c>
      <c r="S120" s="180"/>
      <c r="T120" s="220">
        <v>-90898.11</v>
      </c>
      <c r="U120" s="221">
        <v>-90898.11</v>
      </c>
      <c r="V120" s="221">
        <v>-90898.11</v>
      </c>
      <c r="W120" s="221">
        <v>-30328.11</v>
      </c>
      <c r="X120" s="221">
        <v>-30328.11</v>
      </c>
      <c r="Y120" s="221">
        <v>-30328.11</v>
      </c>
      <c r="Z120" s="221">
        <v>-29828.11</v>
      </c>
      <c r="AA120" s="221">
        <v>-29828.11</v>
      </c>
      <c r="AB120" s="221">
        <v>-29828.11</v>
      </c>
      <c r="AC120" s="221">
        <v>-29828.11</v>
      </c>
      <c r="AD120" s="221">
        <v>-29828.11</v>
      </c>
      <c r="AE120" s="221">
        <v>-29828.11</v>
      </c>
      <c r="AF120" s="218">
        <v>-272694.33</v>
      </c>
      <c r="AG120" s="180"/>
      <c r="AH120" s="202">
        <v>-14028.71</v>
      </c>
      <c r="AI120" s="203">
        <v>-9522.36</v>
      </c>
      <c r="AJ120" s="203">
        <v>-16015.28</v>
      </c>
      <c r="AK120" s="203">
        <v>-12084</v>
      </c>
      <c r="AL120" s="203">
        <v>-3182.51</v>
      </c>
      <c r="AM120" s="216">
        <v>-95630.41</v>
      </c>
      <c r="AN120" s="203">
        <v>-6008.11</v>
      </c>
      <c r="AO120" s="226">
        <v>-135736.10999999999</v>
      </c>
      <c r="AP120" s="226">
        <v>-150515.37</v>
      </c>
      <c r="AQ120" s="219">
        <v>-109736.74</v>
      </c>
      <c r="AR120" s="203">
        <v>-96230.46</v>
      </c>
      <c r="AS120" s="203">
        <v>-106554.23</v>
      </c>
      <c r="AT120" s="205">
        <v>-755244.29</v>
      </c>
      <c r="AU120" s="180"/>
      <c r="AV120" s="180"/>
    </row>
    <row r="121" spans="1:48" ht="13.5" hidden="1" customHeight="1">
      <c r="A121" s="178">
        <v>520330</v>
      </c>
      <c r="B121" s="178">
        <v>51002430</v>
      </c>
      <c r="D121" s="201" t="s">
        <v>516</v>
      </c>
      <c r="E121" s="180" t="s">
        <v>370</v>
      </c>
      <c r="F121" s="202"/>
      <c r="G121" s="203"/>
      <c r="H121" s="203"/>
      <c r="I121" s="203"/>
      <c r="J121" s="203"/>
      <c r="K121" s="216"/>
      <c r="L121" s="203"/>
      <c r="M121" s="203"/>
      <c r="N121" s="203"/>
      <c r="O121" s="203"/>
      <c r="P121" s="203"/>
      <c r="Q121" s="203"/>
      <c r="R121" s="205">
        <v>0</v>
      </c>
      <c r="S121" s="180"/>
      <c r="T121" s="220">
        <v>-688.39374999999995</v>
      </c>
      <c r="U121" s="221">
        <v>-688.39374999999995</v>
      </c>
      <c r="V121" s="221">
        <v>-688.39374999999995</v>
      </c>
      <c r="W121" s="221">
        <v>-688.39374999999995</v>
      </c>
      <c r="X121" s="221">
        <v>-688.39374999999995</v>
      </c>
      <c r="Y121" s="221">
        <v>-688.39374999999995</v>
      </c>
      <c r="Z121" s="221">
        <v>-688.39374999999995</v>
      </c>
      <c r="AA121" s="221">
        <v>-688.39374999999995</v>
      </c>
      <c r="AB121" s="221">
        <v>-688.39374999999995</v>
      </c>
      <c r="AC121" s="221">
        <v>-688.39374999999995</v>
      </c>
      <c r="AD121" s="221">
        <v>-688.39374999999995</v>
      </c>
      <c r="AE121" s="221">
        <v>-688.39374999999995</v>
      </c>
      <c r="AF121" s="218">
        <v>-2065.1812500000001</v>
      </c>
      <c r="AG121" s="180"/>
      <c r="AH121" s="202"/>
      <c r="AI121" s="203">
        <v>-5.75</v>
      </c>
      <c r="AJ121" s="203"/>
      <c r="AK121" s="203">
        <v>-23</v>
      </c>
      <c r="AL121" s="203"/>
      <c r="AM121" s="216"/>
      <c r="AN121" s="203"/>
      <c r="AO121" s="203">
        <v>-484.15</v>
      </c>
      <c r="AP121" s="203"/>
      <c r="AQ121" s="203"/>
      <c r="AR121" s="203"/>
      <c r="AS121" s="203"/>
      <c r="AT121" s="205">
        <v>-512.9</v>
      </c>
      <c r="AU121" s="180"/>
      <c r="AV121" s="180"/>
    </row>
    <row r="122" spans="1:48" ht="13.5" hidden="1" customHeight="1">
      <c r="A122" s="178">
        <v>520340</v>
      </c>
      <c r="B122" s="178">
        <v>51002450</v>
      </c>
      <c r="D122" s="201" t="s">
        <v>517</v>
      </c>
      <c r="E122" s="180" t="s">
        <v>370</v>
      </c>
      <c r="F122" s="202">
        <v>-90961.54</v>
      </c>
      <c r="G122" s="203">
        <v>-48611.97</v>
      </c>
      <c r="H122" s="203">
        <v>-116896.77</v>
      </c>
      <c r="I122" s="203"/>
      <c r="J122" s="203"/>
      <c r="K122" s="216"/>
      <c r="L122" s="203"/>
      <c r="M122" s="203"/>
      <c r="N122" s="203"/>
      <c r="O122" s="203"/>
      <c r="P122" s="203"/>
      <c r="Q122" s="203"/>
      <c r="R122" s="205">
        <v>-256470.28</v>
      </c>
      <c r="S122" s="180"/>
      <c r="T122" s="220">
        <v>-103431.758333333</v>
      </c>
      <c r="U122" s="221">
        <v>-103431.758333333</v>
      </c>
      <c r="V122" s="221">
        <v>-103431.758333333</v>
      </c>
      <c r="W122" s="221">
        <v>-103431.758333333</v>
      </c>
      <c r="X122" s="221">
        <v>-103431.758333333</v>
      </c>
      <c r="Y122" s="221">
        <v>-103431.758333333</v>
      </c>
      <c r="Z122" s="221">
        <v>-103431.758333333</v>
      </c>
      <c r="AA122" s="221">
        <v>-103431.758333333</v>
      </c>
      <c r="AB122" s="221">
        <v>-103431.758333333</v>
      </c>
      <c r="AC122" s="221">
        <v>-103431.758333333</v>
      </c>
      <c r="AD122" s="221">
        <v>-103431.758333333</v>
      </c>
      <c r="AE122" s="221">
        <v>-103431.758333333</v>
      </c>
      <c r="AF122" s="218">
        <v>-310295.27500000002</v>
      </c>
      <c r="AG122" s="180"/>
      <c r="AH122" s="202">
        <v>-34344.61</v>
      </c>
      <c r="AI122" s="203">
        <v>-36804.699999999997</v>
      </c>
      <c r="AJ122" s="219">
        <v>-226291</v>
      </c>
      <c r="AK122" s="219">
        <v>-285902.68</v>
      </c>
      <c r="AL122" s="203">
        <v>-39541.58</v>
      </c>
      <c r="AM122" s="216">
        <v>-75020</v>
      </c>
      <c r="AN122" s="203">
        <v>-69739.47</v>
      </c>
      <c r="AO122" s="203">
        <v>-88360.66</v>
      </c>
      <c r="AP122" s="203">
        <v>-65700</v>
      </c>
      <c r="AQ122" s="203">
        <v>-87880</v>
      </c>
      <c r="AR122" s="203">
        <v>-43750</v>
      </c>
      <c r="AS122" s="203">
        <v>-43138.46</v>
      </c>
      <c r="AT122" s="205">
        <v>-1096473.1599999999</v>
      </c>
      <c r="AU122" s="180"/>
      <c r="AV122" s="180"/>
    </row>
    <row r="123" spans="1:48" ht="13.5" hidden="1" customHeight="1">
      <c r="A123" s="178">
        <v>520350</v>
      </c>
      <c r="B123" s="178">
        <v>51002460</v>
      </c>
      <c r="D123" s="201" t="s">
        <v>518</v>
      </c>
      <c r="E123" s="180" t="s">
        <v>370</v>
      </c>
      <c r="F123" s="202"/>
      <c r="G123" s="203"/>
      <c r="H123" s="203"/>
      <c r="I123" s="203"/>
      <c r="J123" s="203"/>
      <c r="K123" s="216"/>
      <c r="L123" s="203"/>
      <c r="M123" s="203"/>
      <c r="N123" s="203"/>
      <c r="O123" s="203"/>
      <c r="P123" s="203"/>
      <c r="Q123" s="203"/>
      <c r="R123" s="205">
        <v>0</v>
      </c>
      <c r="S123" s="180"/>
      <c r="T123" s="220">
        <v>-1250</v>
      </c>
      <c r="U123" s="221">
        <v>-1250</v>
      </c>
      <c r="V123" s="221">
        <v>-1250</v>
      </c>
      <c r="W123" s="221">
        <v>-1250</v>
      </c>
      <c r="X123" s="221">
        <v>-1250</v>
      </c>
      <c r="Y123" s="221">
        <v>-1250</v>
      </c>
      <c r="Z123" s="221">
        <v>-1250</v>
      </c>
      <c r="AA123" s="221">
        <v>-1250</v>
      </c>
      <c r="AB123" s="221">
        <v>-1250</v>
      </c>
      <c r="AC123" s="221">
        <v>-1250</v>
      </c>
      <c r="AD123" s="221">
        <v>-1250</v>
      </c>
      <c r="AE123" s="221">
        <v>-1250</v>
      </c>
      <c r="AF123" s="218">
        <v>-3750</v>
      </c>
      <c r="AG123" s="180"/>
      <c r="AH123" s="202"/>
      <c r="AI123" s="203"/>
      <c r="AJ123" s="203"/>
      <c r="AK123" s="203"/>
      <c r="AL123" s="203"/>
      <c r="AM123" s="216"/>
      <c r="AN123" s="203"/>
      <c r="AO123" s="203"/>
      <c r="AP123" s="219">
        <v>-10000</v>
      </c>
      <c r="AQ123" s="203"/>
      <c r="AR123" s="203"/>
      <c r="AS123" s="203"/>
      <c r="AT123" s="205">
        <v>-10000</v>
      </c>
      <c r="AU123" s="180"/>
      <c r="AV123" s="180"/>
    </row>
    <row r="124" spans="1:48" ht="13.5" hidden="1" customHeight="1">
      <c r="A124" s="178">
        <v>520360</v>
      </c>
      <c r="B124" s="178">
        <v>51002470</v>
      </c>
      <c r="D124" s="201" t="s">
        <v>519</v>
      </c>
      <c r="E124" s="180" t="s">
        <v>370</v>
      </c>
      <c r="F124" s="202"/>
      <c r="G124" s="203"/>
      <c r="H124" s="203"/>
      <c r="I124" s="203"/>
      <c r="J124" s="203"/>
      <c r="K124" s="216"/>
      <c r="L124" s="203"/>
      <c r="M124" s="203"/>
      <c r="N124" s="203"/>
      <c r="O124" s="203"/>
      <c r="P124" s="203"/>
      <c r="Q124" s="203"/>
      <c r="R124" s="205">
        <v>0</v>
      </c>
      <c r="S124" s="180"/>
      <c r="T124" s="220">
        <v>0</v>
      </c>
      <c r="U124" s="221">
        <v>0</v>
      </c>
      <c r="V124" s="221">
        <v>0</v>
      </c>
      <c r="W124" s="221">
        <v>0</v>
      </c>
      <c r="X124" s="221">
        <v>0</v>
      </c>
      <c r="Y124" s="221">
        <v>0</v>
      </c>
      <c r="Z124" s="221">
        <v>0</v>
      </c>
      <c r="AA124" s="221">
        <v>0</v>
      </c>
      <c r="AB124" s="221">
        <v>0</v>
      </c>
      <c r="AC124" s="221">
        <v>0</v>
      </c>
      <c r="AD124" s="221">
        <v>0</v>
      </c>
      <c r="AE124" s="221">
        <v>0</v>
      </c>
      <c r="AF124" s="218">
        <v>0</v>
      </c>
      <c r="AG124" s="180"/>
      <c r="AH124" s="202"/>
      <c r="AI124" s="203"/>
      <c r="AJ124" s="203"/>
      <c r="AK124" s="203"/>
      <c r="AL124" s="203"/>
      <c r="AM124" s="216"/>
      <c r="AN124" s="203"/>
      <c r="AO124" s="203"/>
      <c r="AP124" s="203"/>
      <c r="AQ124" s="203"/>
      <c r="AR124" s="203"/>
      <c r="AS124" s="203"/>
      <c r="AT124" s="205">
        <v>0</v>
      </c>
      <c r="AU124" s="180"/>
      <c r="AV124" s="180"/>
    </row>
    <row r="125" spans="1:48" ht="13.5" hidden="1" customHeight="1">
      <c r="A125" s="178">
        <v>520370</v>
      </c>
      <c r="B125" s="178">
        <v>51002480</v>
      </c>
      <c r="D125" s="201" t="s">
        <v>520</v>
      </c>
      <c r="E125" s="180" t="s">
        <v>370</v>
      </c>
      <c r="F125" s="202"/>
      <c r="G125" s="203"/>
      <c r="H125" s="203">
        <v>-3999.3</v>
      </c>
      <c r="I125" s="203"/>
      <c r="J125" s="203"/>
      <c r="K125" s="216"/>
      <c r="L125" s="203"/>
      <c r="M125" s="203"/>
      <c r="N125" s="203"/>
      <c r="O125" s="203"/>
      <c r="P125" s="203"/>
      <c r="Q125" s="203"/>
      <c r="R125" s="205">
        <v>-3999.3</v>
      </c>
      <c r="S125" s="180"/>
      <c r="T125" s="220">
        <v>-7450.3562499999998</v>
      </c>
      <c r="U125" s="221">
        <v>-7450.3562499999998</v>
      </c>
      <c r="V125" s="221">
        <v>-7450.3562499999998</v>
      </c>
      <c r="W125" s="221">
        <v>-7450.3562499999998</v>
      </c>
      <c r="X125" s="221">
        <v>-7450.3562499999998</v>
      </c>
      <c r="Y125" s="221">
        <v>-7450.3562499999998</v>
      </c>
      <c r="Z125" s="221">
        <v>-7450.3562499999998</v>
      </c>
      <c r="AA125" s="221">
        <v>-7450.3562499999998</v>
      </c>
      <c r="AB125" s="221">
        <v>-7450.3562499999998</v>
      </c>
      <c r="AC125" s="221">
        <v>-7450.3562499999998</v>
      </c>
      <c r="AD125" s="221">
        <v>-7450.3562499999998</v>
      </c>
      <c r="AE125" s="221">
        <v>-7450.3562499999998</v>
      </c>
      <c r="AF125" s="218">
        <v>-22351.068749999999</v>
      </c>
      <c r="AG125" s="180"/>
      <c r="AH125" s="202">
        <v>-44368.18</v>
      </c>
      <c r="AI125" s="203">
        <v>-25113.25</v>
      </c>
      <c r="AJ125" s="203">
        <v>-470</v>
      </c>
      <c r="AK125" s="203">
        <v>-1780</v>
      </c>
      <c r="AL125" s="203">
        <v>-1300</v>
      </c>
      <c r="AM125" s="216">
        <v>-1898.52</v>
      </c>
      <c r="AN125" s="203">
        <v>1398.05</v>
      </c>
      <c r="AO125" s="203">
        <v>-1485</v>
      </c>
      <c r="AP125" s="203">
        <v>-1203.49</v>
      </c>
      <c r="AQ125" s="203">
        <v>-8616</v>
      </c>
      <c r="AR125" s="203">
        <v>-7427</v>
      </c>
      <c r="AS125" s="203">
        <v>-34818.99</v>
      </c>
      <c r="AT125" s="205">
        <v>-127082.38</v>
      </c>
      <c r="AU125" s="180"/>
      <c r="AV125" s="180"/>
    </row>
    <row r="126" spans="1:48" ht="13.5" hidden="1" customHeight="1">
      <c r="A126" s="178">
        <v>520380</v>
      </c>
      <c r="B126" s="178">
        <v>51002490</v>
      </c>
      <c r="D126" s="201" t="s">
        <v>520</v>
      </c>
      <c r="E126" s="180" t="s">
        <v>370</v>
      </c>
      <c r="F126" s="202">
        <v>-22780.14</v>
      </c>
      <c r="G126" s="203">
        <v>-39853.4</v>
      </c>
      <c r="H126" s="203"/>
      <c r="I126" s="203"/>
      <c r="J126" s="203"/>
      <c r="K126" s="216"/>
      <c r="L126" s="203"/>
      <c r="M126" s="203"/>
      <c r="N126" s="203"/>
      <c r="O126" s="203"/>
      <c r="P126" s="203"/>
      <c r="Q126" s="203"/>
      <c r="R126" s="205">
        <v>-62633.54</v>
      </c>
      <c r="S126" s="180"/>
      <c r="T126" s="220">
        <v>-1331.075</v>
      </c>
      <c r="U126" s="221">
        <v>-1331.075</v>
      </c>
      <c r="V126" s="221">
        <v>-1331.075</v>
      </c>
      <c r="W126" s="221">
        <v>-1331.075</v>
      </c>
      <c r="X126" s="221">
        <v>-1331.075</v>
      </c>
      <c r="Y126" s="221">
        <v>-1331.075</v>
      </c>
      <c r="Z126" s="221">
        <v>-1331.075</v>
      </c>
      <c r="AA126" s="221">
        <v>-1331.075</v>
      </c>
      <c r="AB126" s="221">
        <v>-1331.075</v>
      </c>
      <c r="AC126" s="221">
        <v>-1331.075</v>
      </c>
      <c r="AD126" s="221">
        <v>-1331.075</v>
      </c>
      <c r="AE126" s="221">
        <v>-1331.075</v>
      </c>
      <c r="AF126" s="218">
        <v>-3993.2249999999999</v>
      </c>
      <c r="AG126" s="180"/>
      <c r="AH126" s="202"/>
      <c r="AI126" s="203"/>
      <c r="AJ126" s="203"/>
      <c r="AK126" s="203"/>
      <c r="AL126" s="203"/>
      <c r="AM126" s="216"/>
      <c r="AN126" s="203">
        <v>-10000</v>
      </c>
      <c r="AO126" s="203"/>
      <c r="AP126" s="203"/>
      <c r="AQ126" s="203"/>
      <c r="AR126" s="203">
        <v>-65</v>
      </c>
      <c r="AS126" s="203"/>
      <c r="AT126" s="205">
        <v>-10065</v>
      </c>
      <c r="AU126" s="180"/>
      <c r="AV126" s="180"/>
    </row>
    <row r="127" spans="1:48" ht="13.5" hidden="1" customHeight="1">
      <c r="A127" s="178">
        <v>520390</v>
      </c>
      <c r="B127" s="178"/>
      <c r="D127" s="201" t="s">
        <v>521</v>
      </c>
      <c r="E127" s="180" t="s">
        <v>370</v>
      </c>
      <c r="F127" s="202">
        <v>-69050</v>
      </c>
      <c r="G127" s="203">
        <v>-68700</v>
      </c>
      <c r="H127" s="203">
        <v>-68700</v>
      </c>
      <c r="I127" s="203"/>
      <c r="J127" s="203"/>
      <c r="K127" s="216"/>
      <c r="L127" s="203"/>
      <c r="M127" s="203"/>
      <c r="N127" s="203"/>
      <c r="O127" s="203"/>
      <c r="P127" s="203"/>
      <c r="Q127" s="203"/>
      <c r="R127" s="205">
        <v>-206450</v>
      </c>
      <c r="S127" s="180"/>
      <c r="T127" s="220">
        <v>-70700</v>
      </c>
      <c r="U127" s="221">
        <v>-70700</v>
      </c>
      <c r="V127" s="221">
        <v>-70700</v>
      </c>
      <c r="W127" s="221">
        <v>-70700</v>
      </c>
      <c r="X127" s="221">
        <v>-70700</v>
      </c>
      <c r="Y127" s="221">
        <v>-70700</v>
      </c>
      <c r="Z127" s="221">
        <v>-70700</v>
      </c>
      <c r="AA127" s="221">
        <v>-70700</v>
      </c>
      <c r="AB127" s="221">
        <v>-70700</v>
      </c>
      <c r="AC127" s="221">
        <v>-70700</v>
      </c>
      <c r="AD127" s="221">
        <v>-70700</v>
      </c>
      <c r="AE127" s="221">
        <v>-70700</v>
      </c>
      <c r="AF127" s="218">
        <v>-212100</v>
      </c>
      <c r="AG127" s="180"/>
      <c r="AH127" s="202">
        <v>-102500</v>
      </c>
      <c r="AI127" s="203">
        <v>-95450</v>
      </c>
      <c r="AJ127" s="203">
        <v>-94800</v>
      </c>
      <c r="AK127" s="203">
        <v>-95000</v>
      </c>
      <c r="AL127" s="203">
        <v>-95200</v>
      </c>
      <c r="AM127" s="216">
        <v>-71200</v>
      </c>
      <c r="AN127" s="203">
        <v>-72577.5</v>
      </c>
      <c r="AO127" s="203">
        <v>-72251</v>
      </c>
      <c r="AP127" s="203">
        <v>-69000</v>
      </c>
      <c r="AQ127" s="203">
        <v>-68700</v>
      </c>
      <c r="AR127" s="203">
        <v>-69000</v>
      </c>
      <c r="AS127" s="203">
        <v>-68850</v>
      </c>
      <c r="AT127" s="205">
        <v>-974528.5</v>
      </c>
      <c r="AU127" s="180"/>
      <c r="AV127" s="180"/>
    </row>
    <row r="128" spans="1:48" ht="13.5" hidden="1" customHeight="1">
      <c r="A128" s="178">
        <v>520395</v>
      </c>
      <c r="B128" s="178">
        <v>51002520</v>
      </c>
      <c r="D128" s="201" t="s">
        <v>522</v>
      </c>
      <c r="E128" s="180" t="s">
        <v>370</v>
      </c>
      <c r="F128" s="202">
        <v>-273096.28000000003</v>
      </c>
      <c r="G128" s="203">
        <v>-317136.67</v>
      </c>
      <c r="H128" s="203">
        <v>-269450</v>
      </c>
      <c r="I128" s="203"/>
      <c r="J128" s="203"/>
      <c r="K128" s="216"/>
      <c r="L128" s="203"/>
      <c r="M128" s="203"/>
      <c r="N128" s="203"/>
      <c r="O128" s="203"/>
      <c r="P128" s="203"/>
      <c r="Q128" s="203"/>
      <c r="R128" s="205">
        <v>-859682.95</v>
      </c>
      <c r="S128" s="180"/>
      <c r="T128" s="220">
        <v>-286550</v>
      </c>
      <c r="U128" s="221">
        <v>-286550</v>
      </c>
      <c r="V128" s="221">
        <v>-286550</v>
      </c>
      <c r="W128" s="221">
        <v>-286550</v>
      </c>
      <c r="X128" s="221">
        <v>-286550</v>
      </c>
      <c r="Y128" s="221">
        <v>-286550</v>
      </c>
      <c r="Z128" s="221">
        <v>-275350</v>
      </c>
      <c r="AA128" s="221">
        <v>-275350</v>
      </c>
      <c r="AB128" s="221">
        <v>-275350</v>
      </c>
      <c r="AC128" s="221">
        <v>-275350</v>
      </c>
      <c r="AD128" s="221">
        <v>-275350</v>
      </c>
      <c r="AE128" s="221">
        <v>-275350</v>
      </c>
      <c r="AF128" s="218">
        <v>-859650</v>
      </c>
      <c r="AG128" s="180"/>
      <c r="AH128" s="202">
        <v>-206195.44</v>
      </c>
      <c r="AI128" s="203">
        <v>-299135.65000000002</v>
      </c>
      <c r="AJ128" s="203">
        <v>-212643.91</v>
      </c>
      <c r="AK128" s="203">
        <v>-216123.43</v>
      </c>
      <c r="AL128" s="203">
        <v>-276660.89</v>
      </c>
      <c r="AM128" s="216">
        <v>-287547.38</v>
      </c>
      <c r="AN128" s="203">
        <v>-278537.31</v>
      </c>
      <c r="AO128" s="262">
        <v>-258937.54</v>
      </c>
      <c r="AP128" s="222">
        <v>-249100.16</v>
      </c>
      <c r="AQ128" s="203">
        <v>-246955.41</v>
      </c>
      <c r="AR128" s="203">
        <v>-268522.59999999998</v>
      </c>
      <c r="AS128" s="203">
        <v>-322578.32</v>
      </c>
      <c r="AT128" s="205">
        <v>-3122938.04</v>
      </c>
      <c r="AU128" s="180"/>
      <c r="AV128" s="180"/>
    </row>
    <row r="129" spans="1:48" ht="13.5" hidden="1" customHeight="1">
      <c r="A129" s="178">
        <v>520400</v>
      </c>
      <c r="B129" s="178">
        <v>51002610</v>
      </c>
      <c r="D129" s="201" t="s">
        <v>523</v>
      </c>
      <c r="E129" s="180" t="s">
        <v>370</v>
      </c>
      <c r="F129" s="202">
        <v>-87.08</v>
      </c>
      <c r="G129" s="203">
        <v>-87.08</v>
      </c>
      <c r="H129" s="203"/>
      <c r="I129" s="203"/>
      <c r="J129" s="203"/>
      <c r="K129" s="216"/>
      <c r="L129" s="203"/>
      <c r="M129" s="203"/>
      <c r="N129" s="203"/>
      <c r="O129" s="203"/>
      <c r="P129" s="203"/>
      <c r="Q129" s="203"/>
      <c r="R129" s="205">
        <v>-174.16</v>
      </c>
      <c r="S129" s="180"/>
      <c r="T129" s="220">
        <v>-3052.9987500000002</v>
      </c>
      <c r="U129" s="221">
        <v>-3052.9987500000002</v>
      </c>
      <c r="V129" s="221">
        <v>-3052.9987500000002</v>
      </c>
      <c r="W129" s="221">
        <v>-3052.9987500000002</v>
      </c>
      <c r="X129" s="221">
        <v>-3052.9987500000002</v>
      </c>
      <c r="Y129" s="221">
        <v>-3052.9987500000002</v>
      </c>
      <c r="Z129" s="221">
        <v>-3052.9987500000002</v>
      </c>
      <c r="AA129" s="221">
        <v>-3052.9987500000002</v>
      </c>
      <c r="AB129" s="221">
        <v>-3052.9987500000002</v>
      </c>
      <c r="AC129" s="221">
        <v>-3052.9987500000002</v>
      </c>
      <c r="AD129" s="221">
        <v>-3052.9987500000002</v>
      </c>
      <c r="AE129" s="221">
        <v>-3052.9987500000002</v>
      </c>
      <c r="AF129" s="218">
        <v>-9158.9962500000001</v>
      </c>
      <c r="AG129" s="180"/>
      <c r="AH129" s="202">
        <v>-87.08</v>
      </c>
      <c r="AI129" s="203">
        <v>-87.08</v>
      </c>
      <c r="AJ129" s="203">
        <v>-87.08</v>
      </c>
      <c r="AK129" s="203">
        <v>-87.08</v>
      </c>
      <c r="AL129" s="203">
        <v>-87.08</v>
      </c>
      <c r="AM129" s="216">
        <v>-87.08</v>
      </c>
      <c r="AN129" s="203">
        <v>-87.08</v>
      </c>
      <c r="AO129" s="203">
        <v>-87.08</v>
      </c>
      <c r="AP129" s="203">
        <v>-87.08</v>
      </c>
      <c r="AQ129" s="203">
        <v>-87.08</v>
      </c>
      <c r="AR129" s="203">
        <v>-87.08</v>
      </c>
      <c r="AS129" s="203">
        <v>-87.08</v>
      </c>
      <c r="AT129" s="205">
        <v>-1044.96</v>
      </c>
      <c r="AU129" s="180"/>
      <c r="AV129" s="180"/>
    </row>
    <row r="130" spans="1:48" ht="13.5" hidden="1" customHeight="1">
      <c r="A130" s="178">
        <v>520410</v>
      </c>
      <c r="B130" s="178">
        <v>51002630</v>
      </c>
      <c r="D130" s="201" t="s">
        <v>524</v>
      </c>
      <c r="E130" s="180" t="s">
        <v>370</v>
      </c>
      <c r="F130" s="202">
        <v>-609.74</v>
      </c>
      <c r="G130" s="203">
        <v>-609.74</v>
      </c>
      <c r="H130" s="203"/>
      <c r="I130" s="203"/>
      <c r="J130" s="203"/>
      <c r="K130" s="216"/>
      <c r="L130" s="203"/>
      <c r="M130" s="203"/>
      <c r="N130" s="203"/>
      <c r="O130" s="203"/>
      <c r="P130" s="203"/>
      <c r="Q130" s="203"/>
      <c r="R130" s="205">
        <v>-1219.48</v>
      </c>
      <c r="S130" s="180"/>
      <c r="T130" s="220">
        <v>-3505.11</v>
      </c>
      <c r="U130" s="221">
        <v>-3505.11</v>
      </c>
      <c r="V130" s="221">
        <v>-3505.11</v>
      </c>
      <c r="W130" s="221">
        <v>-3505.11</v>
      </c>
      <c r="X130" s="221">
        <v>-3505.11</v>
      </c>
      <c r="Y130" s="221">
        <v>-3505.11</v>
      </c>
      <c r="Z130" s="221">
        <v>-3505.11</v>
      </c>
      <c r="AA130" s="221">
        <v>-3505.11</v>
      </c>
      <c r="AB130" s="221">
        <v>-3505.11</v>
      </c>
      <c r="AC130" s="221">
        <v>-3505.11</v>
      </c>
      <c r="AD130" s="221">
        <v>-3505.11</v>
      </c>
      <c r="AE130" s="221">
        <v>-3505.11</v>
      </c>
      <c r="AF130" s="218">
        <v>-10515.33</v>
      </c>
      <c r="AG130" s="180"/>
      <c r="AH130" s="202">
        <v>-261.67</v>
      </c>
      <c r="AI130" s="203">
        <v>-261.67</v>
      </c>
      <c r="AJ130" s="203">
        <v>-261.67</v>
      </c>
      <c r="AK130" s="203">
        <v>-261.67</v>
      </c>
      <c r="AL130" s="203">
        <v>-261.67</v>
      </c>
      <c r="AM130" s="216">
        <v>-261.67</v>
      </c>
      <c r="AN130" s="203"/>
      <c r="AO130" s="203"/>
      <c r="AP130" s="203"/>
      <c r="AQ130" s="203"/>
      <c r="AR130" s="203"/>
      <c r="AS130" s="203">
        <v>698.61</v>
      </c>
      <c r="AT130" s="205">
        <v>-871.41</v>
      </c>
      <c r="AU130" s="180"/>
      <c r="AV130" s="180"/>
    </row>
    <row r="131" spans="1:48" ht="13.5" hidden="1" customHeight="1">
      <c r="A131" s="178">
        <v>520420</v>
      </c>
      <c r="B131" s="178">
        <v>51002710</v>
      </c>
      <c r="D131" s="201" t="s">
        <v>525</v>
      </c>
      <c r="E131" s="180" t="s">
        <v>370</v>
      </c>
      <c r="F131" s="202">
        <v>-34635.51</v>
      </c>
      <c r="G131" s="203">
        <v>-55663.16</v>
      </c>
      <c r="H131" s="203">
        <v>-53558.61</v>
      </c>
      <c r="I131" s="203"/>
      <c r="J131" s="203"/>
      <c r="K131" s="216"/>
      <c r="L131" s="203"/>
      <c r="M131" s="203"/>
      <c r="N131" s="203"/>
      <c r="O131" s="203"/>
      <c r="P131" s="203"/>
      <c r="Q131" s="203"/>
      <c r="R131" s="205">
        <v>-143857.28</v>
      </c>
      <c r="S131" s="180"/>
      <c r="T131" s="220">
        <v>-54328.046666666698</v>
      </c>
      <c r="U131" s="221">
        <v>-54328.046666666698</v>
      </c>
      <c r="V131" s="221">
        <v>-54328.046666666698</v>
      </c>
      <c r="W131" s="221">
        <v>-54328.046666666698</v>
      </c>
      <c r="X131" s="221">
        <v>-54328.046666666698</v>
      </c>
      <c r="Y131" s="221">
        <v>-54328.046666666698</v>
      </c>
      <c r="Z131" s="221">
        <v>-54328.046666666698</v>
      </c>
      <c r="AA131" s="221">
        <v>-54328.046666666698</v>
      </c>
      <c r="AB131" s="221">
        <v>-54328.046666666698</v>
      </c>
      <c r="AC131" s="221">
        <v>-54328.046666666698</v>
      </c>
      <c r="AD131" s="221">
        <v>-54328.046666666698</v>
      </c>
      <c r="AE131" s="221">
        <v>-54328.046666666698</v>
      </c>
      <c r="AF131" s="218">
        <v>-162984.14000000001</v>
      </c>
      <c r="AG131" s="180"/>
      <c r="AH131" s="202">
        <v>-52337.64</v>
      </c>
      <c r="AI131" s="203">
        <v>-55649.66</v>
      </c>
      <c r="AJ131" s="203">
        <v>-52368.91</v>
      </c>
      <c r="AK131" s="203">
        <v>-56018.91</v>
      </c>
      <c r="AL131" s="203">
        <v>-52368.91</v>
      </c>
      <c r="AM131" s="216">
        <v>-52368.91</v>
      </c>
      <c r="AN131" s="203">
        <v>-49302.239999999998</v>
      </c>
      <c r="AO131" s="219">
        <v>-30582.68</v>
      </c>
      <c r="AP131" s="219">
        <v>-71136.679999999993</v>
      </c>
      <c r="AQ131" s="203">
        <v>-43636.68</v>
      </c>
      <c r="AR131" s="203">
        <v>-43734.58</v>
      </c>
      <c r="AS131" s="203">
        <v>46099.44</v>
      </c>
      <c r="AT131" s="205">
        <v>-513406.36</v>
      </c>
      <c r="AU131" s="180"/>
      <c r="AV131" s="180"/>
    </row>
    <row r="132" spans="1:48" ht="13.5" hidden="1" customHeight="1">
      <c r="A132" s="178"/>
      <c r="B132" s="178"/>
      <c r="D132" s="201" t="s">
        <v>526</v>
      </c>
      <c r="E132" s="180"/>
      <c r="F132" s="202">
        <v>-1478.13</v>
      </c>
      <c r="G132" s="203">
        <v>-8978.1299999999992</v>
      </c>
      <c r="H132" s="203">
        <v>-1478.13</v>
      </c>
      <c r="I132" s="203"/>
      <c r="J132" s="203"/>
      <c r="K132" s="216"/>
      <c r="L132" s="203"/>
      <c r="M132" s="203"/>
      <c r="N132" s="203"/>
      <c r="O132" s="203"/>
      <c r="P132" s="203"/>
      <c r="Q132" s="203"/>
      <c r="R132" s="205">
        <v>-11934.39</v>
      </c>
      <c r="S132" s="180"/>
      <c r="T132" s="220">
        <v>-5978.13</v>
      </c>
      <c r="U132" s="221">
        <v>-5978.13</v>
      </c>
      <c r="V132" s="221">
        <v>-5978.13</v>
      </c>
      <c r="W132" s="221">
        <v>-5978.13</v>
      </c>
      <c r="X132" s="221">
        <v>-5978.13</v>
      </c>
      <c r="Y132" s="221">
        <v>-5978.13</v>
      </c>
      <c r="Z132" s="221">
        <v>-5978.13</v>
      </c>
      <c r="AA132" s="221">
        <v>-5978.13</v>
      </c>
      <c r="AB132" s="221">
        <v>-5978.13</v>
      </c>
      <c r="AC132" s="221">
        <v>-5978.13</v>
      </c>
      <c r="AD132" s="221">
        <v>-5978.13</v>
      </c>
      <c r="AE132" s="221">
        <v>-5978.13</v>
      </c>
      <c r="AF132" s="218"/>
      <c r="AG132" s="180"/>
      <c r="AH132" s="202">
        <v>-2958.33</v>
      </c>
      <c r="AI132" s="203">
        <v>-3825.34</v>
      </c>
      <c r="AJ132" s="203">
        <v>-4436.46</v>
      </c>
      <c r="AK132" s="203">
        <v>-4436.46</v>
      </c>
      <c r="AL132" s="203">
        <v>-8436.4599999999991</v>
      </c>
      <c r="AM132" s="216">
        <v>-26978.13</v>
      </c>
      <c r="AN132" s="203">
        <v>-19478.13</v>
      </c>
      <c r="AO132" s="203">
        <v>-3978.13</v>
      </c>
      <c r="AP132" s="203">
        <v>-3978.13</v>
      </c>
      <c r="AQ132" s="203">
        <v>-3978.13</v>
      </c>
      <c r="AR132" s="203">
        <v>-42078.13</v>
      </c>
      <c r="AS132" s="203">
        <v>-9478.1299999999992</v>
      </c>
      <c r="AT132" s="205">
        <v>-134039.96</v>
      </c>
      <c r="AU132" s="180"/>
      <c r="AV132" s="180"/>
    </row>
    <row r="133" spans="1:48" ht="13.5" hidden="1" customHeight="1">
      <c r="A133" s="178">
        <v>520430</v>
      </c>
      <c r="B133" s="178">
        <v>51002720</v>
      </c>
      <c r="D133" s="201" t="s">
        <v>527</v>
      </c>
      <c r="E133" s="180" t="s">
        <v>370</v>
      </c>
      <c r="F133" s="202"/>
      <c r="G133" s="203"/>
      <c r="H133" s="203"/>
      <c r="I133" s="203"/>
      <c r="J133" s="203"/>
      <c r="K133" s="216"/>
      <c r="L133" s="203"/>
      <c r="M133" s="203"/>
      <c r="N133" s="203"/>
      <c r="O133" s="203"/>
      <c r="P133" s="203"/>
      <c r="Q133" s="203"/>
      <c r="R133" s="205">
        <v>0</v>
      </c>
      <c r="S133" s="180"/>
      <c r="T133" s="220">
        <v>0</v>
      </c>
      <c r="U133" s="221">
        <v>0</v>
      </c>
      <c r="V133" s="221">
        <v>0</v>
      </c>
      <c r="W133" s="221">
        <v>0</v>
      </c>
      <c r="X133" s="221">
        <v>0</v>
      </c>
      <c r="Y133" s="221">
        <v>0</v>
      </c>
      <c r="Z133" s="221">
        <v>0</v>
      </c>
      <c r="AA133" s="221">
        <v>0</v>
      </c>
      <c r="AB133" s="221">
        <v>0</v>
      </c>
      <c r="AC133" s="221">
        <v>0</v>
      </c>
      <c r="AD133" s="221">
        <v>0</v>
      </c>
      <c r="AE133" s="221">
        <v>0</v>
      </c>
      <c r="AF133" s="218">
        <v>0</v>
      </c>
      <c r="AG133" s="180"/>
      <c r="AH133" s="202"/>
      <c r="AI133" s="203"/>
      <c r="AJ133" s="203"/>
      <c r="AK133" s="203"/>
      <c r="AL133" s="203"/>
      <c r="AM133" s="216"/>
      <c r="AN133" s="203"/>
      <c r="AO133" s="203"/>
      <c r="AP133" s="203"/>
      <c r="AQ133" s="203"/>
      <c r="AR133" s="203"/>
      <c r="AS133" s="203"/>
      <c r="AT133" s="205">
        <v>0</v>
      </c>
      <c r="AU133" s="180"/>
      <c r="AV133" s="180"/>
    </row>
    <row r="134" spans="1:48" ht="13.5" hidden="1" customHeight="1">
      <c r="A134" s="178">
        <v>520440</v>
      </c>
      <c r="B134" s="178">
        <v>51002730</v>
      </c>
      <c r="D134" s="201" t="s">
        <v>528</v>
      </c>
      <c r="E134" s="180" t="s">
        <v>370</v>
      </c>
      <c r="F134" s="202">
        <v>-10000</v>
      </c>
      <c r="G134" s="203"/>
      <c r="H134" s="203"/>
      <c r="I134" s="203"/>
      <c r="J134" s="203"/>
      <c r="K134" s="216"/>
      <c r="L134" s="203"/>
      <c r="M134" s="203"/>
      <c r="N134" s="203"/>
      <c r="O134" s="203"/>
      <c r="P134" s="203"/>
      <c r="Q134" s="203"/>
      <c r="R134" s="205">
        <v>-10000</v>
      </c>
      <c r="S134" s="180"/>
      <c r="T134" s="220">
        <v>-3694.17</v>
      </c>
      <c r="U134" s="221">
        <v>-3694.17</v>
      </c>
      <c r="V134" s="221">
        <v>-3694.17</v>
      </c>
      <c r="W134" s="221">
        <v>-3694.17</v>
      </c>
      <c r="X134" s="221">
        <v>-3694.17</v>
      </c>
      <c r="Y134" s="221">
        <v>-3694.17</v>
      </c>
      <c r="Z134" s="221">
        <v>-3694.17</v>
      </c>
      <c r="AA134" s="221">
        <v>-3694.17</v>
      </c>
      <c r="AB134" s="221">
        <v>-3694.17</v>
      </c>
      <c r="AC134" s="221">
        <v>-3694.17</v>
      </c>
      <c r="AD134" s="221">
        <v>-3694.17</v>
      </c>
      <c r="AE134" s="221">
        <v>-3694.17</v>
      </c>
      <c r="AF134" s="218">
        <v>-11082.51</v>
      </c>
      <c r="AG134" s="180"/>
      <c r="AH134" s="202">
        <v>-951.57</v>
      </c>
      <c r="AI134" s="203">
        <v>-14689.28</v>
      </c>
      <c r="AJ134" s="203">
        <v>-684.59</v>
      </c>
      <c r="AK134" s="203">
        <v>-15284.59</v>
      </c>
      <c r="AL134" s="203">
        <v>-684.59</v>
      </c>
      <c r="AM134" s="216">
        <v>-684.59</v>
      </c>
      <c r="AN134" s="203">
        <v>-28984.59</v>
      </c>
      <c r="AO134" s="203">
        <v>-1384.59</v>
      </c>
      <c r="AP134" s="219">
        <v>-29239.89</v>
      </c>
      <c r="AQ134" s="203">
        <v>-26829.18</v>
      </c>
      <c r="AR134" s="203">
        <v>-26040.42</v>
      </c>
      <c r="AS134" s="203">
        <v>-4323.28</v>
      </c>
      <c r="AT134" s="205">
        <v>-149781.16</v>
      </c>
      <c r="AU134" s="180"/>
      <c r="AV134" s="180"/>
    </row>
    <row r="135" spans="1:48" ht="13.5" hidden="1" customHeight="1">
      <c r="A135" s="178">
        <v>520450</v>
      </c>
      <c r="B135" s="178">
        <v>51002750</v>
      </c>
      <c r="D135" s="201" t="s">
        <v>529</v>
      </c>
      <c r="E135" s="180" t="s">
        <v>370</v>
      </c>
      <c r="F135" s="202"/>
      <c r="G135" s="203"/>
      <c r="H135" s="203"/>
      <c r="I135" s="203"/>
      <c r="J135" s="203"/>
      <c r="K135" s="216"/>
      <c r="L135" s="203"/>
      <c r="M135" s="203"/>
      <c r="N135" s="203"/>
      <c r="O135" s="203"/>
      <c r="P135" s="203"/>
      <c r="Q135" s="203"/>
      <c r="R135" s="205">
        <v>0</v>
      </c>
      <c r="S135" s="180"/>
      <c r="T135" s="220">
        <v>0</v>
      </c>
      <c r="U135" s="221">
        <v>0</v>
      </c>
      <c r="V135" s="221">
        <v>0</v>
      </c>
      <c r="W135" s="221">
        <v>0</v>
      </c>
      <c r="X135" s="221">
        <v>0</v>
      </c>
      <c r="Y135" s="221">
        <v>0</v>
      </c>
      <c r="Z135" s="221">
        <v>0</v>
      </c>
      <c r="AA135" s="221">
        <v>0</v>
      </c>
      <c r="AB135" s="221">
        <v>0</v>
      </c>
      <c r="AC135" s="221">
        <v>0</v>
      </c>
      <c r="AD135" s="221">
        <v>0</v>
      </c>
      <c r="AE135" s="221">
        <v>0</v>
      </c>
      <c r="AF135" s="218">
        <v>0</v>
      </c>
      <c r="AG135" s="180"/>
      <c r="AH135" s="202"/>
      <c r="AI135" s="203"/>
      <c r="AJ135" s="203"/>
      <c r="AK135" s="203"/>
      <c r="AL135" s="203"/>
      <c r="AM135" s="216"/>
      <c r="AN135" s="203"/>
      <c r="AO135" s="203"/>
      <c r="AP135" s="203"/>
      <c r="AQ135" s="203"/>
      <c r="AR135" s="203"/>
      <c r="AS135" s="203"/>
      <c r="AT135" s="205">
        <v>0</v>
      </c>
      <c r="AU135" s="180"/>
      <c r="AV135" s="180"/>
    </row>
    <row r="136" spans="1:48" ht="13.5" hidden="1" customHeight="1">
      <c r="A136" s="178">
        <v>520460</v>
      </c>
      <c r="B136" s="178">
        <v>51002810</v>
      </c>
      <c r="D136" s="201" t="s">
        <v>530</v>
      </c>
      <c r="E136" s="180" t="s">
        <v>370</v>
      </c>
      <c r="F136" s="202"/>
      <c r="G136" s="203"/>
      <c r="H136" s="203"/>
      <c r="I136" s="203"/>
      <c r="J136" s="203"/>
      <c r="K136" s="216"/>
      <c r="L136" s="203"/>
      <c r="M136" s="203"/>
      <c r="N136" s="203"/>
      <c r="O136" s="203"/>
      <c r="P136" s="203"/>
      <c r="Q136" s="203"/>
      <c r="R136" s="205">
        <v>0</v>
      </c>
      <c r="S136" s="180"/>
      <c r="T136" s="220">
        <v>-103.67</v>
      </c>
      <c r="U136" s="221">
        <v>-103.67</v>
      </c>
      <c r="V136" s="221">
        <v>-103.67</v>
      </c>
      <c r="W136" s="221">
        <v>-103.67</v>
      </c>
      <c r="X136" s="221">
        <v>-103.67</v>
      </c>
      <c r="Y136" s="221">
        <v>-103.67</v>
      </c>
      <c r="Z136" s="221">
        <v>-103.67</v>
      </c>
      <c r="AA136" s="221">
        <v>-103.67</v>
      </c>
      <c r="AB136" s="221">
        <v>-103.67</v>
      </c>
      <c r="AC136" s="221">
        <v>-103.67</v>
      </c>
      <c r="AD136" s="221">
        <v>-103.67</v>
      </c>
      <c r="AE136" s="221">
        <v>-103.67</v>
      </c>
      <c r="AF136" s="218">
        <v>-311.00999999999902</v>
      </c>
      <c r="AG136" s="180"/>
      <c r="AH136" s="202"/>
      <c r="AI136" s="203"/>
      <c r="AJ136" s="203"/>
      <c r="AK136" s="203"/>
      <c r="AL136" s="203"/>
      <c r="AM136" s="216"/>
      <c r="AN136" s="203"/>
      <c r="AO136" s="203"/>
      <c r="AP136" s="203"/>
      <c r="AQ136" s="203"/>
      <c r="AR136" s="203"/>
      <c r="AS136" s="203"/>
      <c r="AT136" s="205">
        <v>0</v>
      </c>
      <c r="AU136" s="180"/>
      <c r="AV136" s="180"/>
    </row>
    <row r="137" spans="1:48" ht="13.5" hidden="1" customHeight="1">
      <c r="A137" s="178">
        <v>520470</v>
      </c>
      <c r="B137" s="178">
        <v>51002920</v>
      </c>
      <c r="D137" s="201" t="s">
        <v>531</v>
      </c>
      <c r="E137" s="180" t="s">
        <v>370</v>
      </c>
      <c r="F137" s="202"/>
      <c r="G137" s="203"/>
      <c r="H137" s="203">
        <v>-1229.99</v>
      </c>
      <c r="I137" s="203"/>
      <c r="J137" s="203"/>
      <c r="K137" s="216"/>
      <c r="L137" s="203"/>
      <c r="M137" s="203"/>
      <c r="N137" s="203"/>
      <c r="O137" s="203"/>
      <c r="P137" s="203"/>
      <c r="Q137" s="203"/>
      <c r="R137" s="205">
        <v>-1229.99</v>
      </c>
      <c r="S137" s="180"/>
      <c r="T137" s="220">
        <v>-2198</v>
      </c>
      <c r="U137" s="221">
        <v>-2198</v>
      </c>
      <c r="V137" s="221">
        <v>-2198</v>
      </c>
      <c r="W137" s="221">
        <v>-2198</v>
      </c>
      <c r="X137" s="221">
        <v>-2198</v>
      </c>
      <c r="Y137" s="221">
        <v>-2198</v>
      </c>
      <c r="Z137" s="221">
        <v>-2198</v>
      </c>
      <c r="AA137" s="221">
        <v>-2198</v>
      </c>
      <c r="AB137" s="221">
        <v>-2198</v>
      </c>
      <c r="AC137" s="221">
        <v>-2198</v>
      </c>
      <c r="AD137" s="221">
        <v>-2198</v>
      </c>
      <c r="AE137" s="221">
        <v>-2198</v>
      </c>
      <c r="AF137" s="218">
        <v>-6594</v>
      </c>
      <c r="AG137" s="180"/>
      <c r="AH137" s="202"/>
      <c r="AI137" s="203"/>
      <c r="AJ137" s="203"/>
      <c r="AK137" s="203"/>
      <c r="AL137" s="203"/>
      <c r="AM137" s="216"/>
      <c r="AN137" s="203"/>
      <c r="AO137" s="203"/>
      <c r="AP137" s="203"/>
      <c r="AQ137" s="203"/>
      <c r="AR137" s="203"/>
      <c r="AS137" s="203"/>
      <c r="AT137" s="205">
        <v>0</v>
      </c>
      <c r="AU137" s="180"/>
      <c r="AV137" s="180"/>
    </row>
    <row r="138" spans="1:48" ht="13.5" hidden="1" customHeight="1">
      <c r="A138" s="178">
        <v>520480</v>
      </c>
      <c r="B138" s="178"/>
      <c r="D138" s="201" t="s">
        <v>532</v>
      </c>
      <c r="E138" s="180" t="s">
        <v>370</v>
      </c>
      <c r="F138" s="202"/>
      <c r="G138" s="203">
        <v>-2912.16</v>
      </c>
      <c r="H138" s="203">
        <v>-405</v>
      </c>
      <c r="I138" s="203"/>
      <c r="J138" s="203"/>
      <c r="K138" s="216"/>
      <c r="L138" s="203"/>
      <c r="M138" s="203"/>
      <c r="N138" s="203"/>
      <c r="O138" s="203"/>
      <c r="P138" s="203"/>
      <c r="Q138" s="203"/>
      <c r="R138" s="205">
        <v>-3317.16</v>
      </c>
      <c r="S138" s="180"/>
      <c r="T138" s="220">
        <v>-724.53499999999997</v>
      </c>
      <c r="U138" s="221">
        <v>-724.53499999999997</v>
      </c>
      <c r="V138" s="221">
        <v>-724.53499999999997</v>
      </c>
      <c r="W138" s="221">
        <v>-724.53499999999997</v>
      </c>
      <c r="X138" s="221">
        <v>-724.53499999999997</v>
      </c>
      <c r="Y138" s="221">
        <v>-724.53499999999997</v>
      </c>
      <c r="Z138" s="221">
        <v>-724.53499999999997</v>
      </c>
      <c r="AA138" s="221">
        <v>-724.53499999999997</v>
      </c>
      <c r="AB138" s="221">
        <v>-724.53499999999997</v>
      </c>
      <c r="AC138" s="221">
        <v>-724.53499999999997</v>
      </c>
      <c r="AD138" s="221">
        <v>-724.53499999999997</v>
      </c>
      <c r="AE138" s="221">
        <v>-724.53499999999997</v>
      </c>
      <c r="AF138" s="218">
        <v>-2173.605</v>
      </c>
      <c r="AG138" s="180"/>
      <c r="AH138" s="202">
        <v>-3704.35</v>
      </c>
      <c r="AI138" s="203">
        <v>-3182.49</v>
      </c>
      <c r="AJ138" s="203">
        <v>-817.4</v>
      </c>
      <c r="AK138" s="203">
        <v>-12067.61</v>
      </c>
      <c r="AL138" s="203">
        <v>-3313.2</v>
      </c>
      <c r="AM138" s="216">
        <v>-1473.93</v>
      </c>
      <c r="AN138" s="203">
        <v>-3676.64</v>
      </c>
      <c r="AO138" s="203">
        <v>-6535.4</v>
      </c>
      <c r="AP138" s="203">
        <v>-2304.34</v>
      </c>
      <c r="AQ138" s="203">
        <v>-704.35</v>
      </c>
      <c r="AR138" s="203"/>
      <c r="AS138" s="203">
        <v>-5594.35</v>
      </c>
      <c r="AT138" s="205">
        <v>-43374.06</v>
      </c>
      <c r="AU138" s="180"/>
      <c r="AV138" s="180"/>
    </row>
    <row r="139" spans="1:48" ht="13.5" hidden="1" customHeight="1">
      <c r="A139" s="178">
        <v>520490</v>
      </c>
      <c r="B139" s="178"/>
      <c r="D139" s="201" t="s">
        <v>533</v>
      </c>
      <c r="E139" s="180" t="s">
        <v>370</v>
      </c>
      <c r="F139" s="202">
        <v>-352</v>
      </c>
      <c r="G139" s="203"/>
      <c r="H139" s="203">
        <v>-864.56</v>
      </c>
      <c r="I139" s="203"/>
      <c r="J139" s="203"/>
      <c r="K139" s="216"/>
      <c r="L139" s="203"/>
      <c r="M139" s="203"/>
      <c r="N139" s="203"/>
      <c r="O139" s="203"/>
      <c r="P139" s="203"/>
      <c r="Q139" s="203"/>
      <c r="R139" s="205">
        <v>-1216.56</v>
      </c>
      <c r="S139" s="180"/>
      <c r="T139" s="220">
        <v>-1388</v>
      </c>
      <c r="U139" s="221">
        <v>-1388</v>
      </c>
      <c r="V139" s="221">
        <v>-1388</v>
      </c>
      <c r="W139" s="221">
        <v>-1388</v>
      </c>
      <c r="X139" s="221">
        <v>-1388</v>
      </c>
      <c r="Y139" s="221">
        <v>-1388</v>
      </c>
      <c r="Z139" s="221">
        <v>-1388</v>
      </c>
      <c r="AA139" s="221">
        <v>-1388</v>
      </c>
      <c r="AB139" s="221">
        <v>-1388</v>
      </c>
      <c r="AC139" s="221">
        <v>-1388</v>
      </c>
      <c r="AD139" s="221">
        <v>-1388</v>
      </c>
      <c r="AE139" s="221">
        <v>-1388</v>
      </c>
      <c r="AF139" s="218">
        <v>-4164</v>
      </c>
      <c r="AG139" s="180"/>
      <c r="AH139" s="202"/>
      <c r="AI139" s="203">
        <v>-1075</v>
      </c>
      <c r="AJ139" s="203"/>
      <c r="AK139" s="203">
        <v>-4858.01</v>
      </c>
      <c r="AL139" s="203">
        <v>-4291.29</v>
      </c>
      <c r="AM139" s="216">
        <v>-3300</v>
      </c>
      <c r="AN139" s="203">
        <v>-11108.91</v>
      </c>
      <c r="AO139" s="203">
        <v>-13862.03</v>
      </c>
      <c r="AP139" s="203">
        <v>-6758.41</v>
      </c>
      <c r="AQ139" s="203">
        <v>-5260.87</v>
      </c>
      <c r="AR139" s="203">
        <v>-1921.3</v>
      </c>
      <c r="AS139" s="203">
        <v>-3116.05</v>
      </c>
      <c r="AT139" s="205">
        <v>-55551.87</v>
      </c>
      <c r="AU139" s="180"/>
      <c r="AV139" s="180"/>
    </row>
    <row r="140" spans="1:48" ht="13.5" hidden="1" customHeight="1">
      <c r="A140" s="178">
        <v>520500</v>
      </c>
      <c r="B140" s="178"/>
      <c r="D140" s="201" t="s">
        <v>534</v>
      </c>
      <c r="E140" s="180" t="s">
        <v>370</v>
      </c>
      <c r="F140" s="202">
        <v>-60.69</v>
      </c>
      <c r="G140" s="203"/>
      <c r="H140" s="203"/>
      <c r="I140" s="203"/>
      <c r="J140" s="203"/>
      <c r="K140" s="216"/>
      <c r="L140" s="203"/>
      <c r="M140" s="203"/>
      <c r="N140" s="203"/>
      <c r="O140" s="203"/>
      <c r="P140" s="203"/>
      <c r="Q140" s="203"/>
      <c r="R140" s="205">
        <v>-60.69</v>
      </c>
      <c r="S140" s="180"/>
      <c r="T140" s="220">
        <v>-78</v>
      </c>
      <c r="U140" s="221">
        <v>-78</v>
      </c>
      <c r="V140" s="221">
        <v>-78</v>
      </c>
      <c r="W140" s="221">
        <v>-78</v>
      </c>
      <c r="X140" s="221">
        <v>-78</v>
      </c>
      <c r="Y140" s="221">
        <v>-78</v>
      </c>
      <c r="Z140" s="221">
        <v>-78</v>
      </c>
      <c r="AA140" s="221">
        <v>-78</v>
      </c>
      <c r="AB140" s="221">
        <v>-78</v>
      </c>
      <c r="AC140" s="221">
        <v>-78</v>
      </c>
      <c r="AD140" s="221">
        <v>-78</v>
      </c>
      <c r="AE140" s="221">
        <v>-78</v>
      </c>
      <c r="AF140" s="218">
        <v>-234</v>
      </c>
      <c r="AG140" s="180"/>
      <c r="AH140" s="202"/>
      <c r="AI140" s="203">
        <v>-288.35000000000002</v>
      </c>
      <c r="AJ140" s="203">
        <v>-146.78</v>
      </c>
      <c r="AK140" s="203">
        <v>-327.79</v>
      </c>
      <c r="AL140" s="203"/>
      <c r="AM140" s="216"/>
      <c r="AN140" s="203">
        <v>-4806.75</v>
      </c>
      <c r="AO140" s="203">
        <v>-1210.79</v>
      </c>
      <c r="AP140" s="203">
        <v>-883.04</v>
      </c>
      <c r="AQ140" s="203"/>
      <c r="AR140" s="203">
        <v>-686.9</v>
      </c>
      <c r="AS140" s="203">
        <v>-1333.12</v>
      </c>
      <c r="AT140" s="205">
        <v>-9683.52</v>
      </c>
      <c r="AU140" s="180"/>
      <c r="AV140" s="180"/>
    </row>
    <row r="141" spans="1:48" ht="13.5" hidden="1" customHeight="1">
      <c r="A141" s="178">
        <v>520510</v>
      </c>
      <c r="B141" s="178"/>
      <c r="D141" s="201" t="s">
        <v>535</v>
      </c>
      <c r="E141" s="180" t="s">
        <v>370</v>
      </c>
      <c r="F141" s="202">
        <v>-164.5</v>
      </c>
      <c r="G141" s="203"/>
      <c r="H141" s="203">
        <v>-288.32</v>
      </c>
      <c r="I141" s="203"/>
      <c r="J141" s="203"/>
      <c r="K141" s="216"/>
      <c r="L141" s="203"/>
      <c r="M141" s="203"/>
      <c r="N141" s="203"/>
      <c r="O141" s="203"/>
      <c r="P141" s="203"/>
      <c r="Q141" s="203"/>
      <c r="R141" s="205">
        <v>-452.82</v>
      </c>
      <c r="S141" s="180"/>
      <c r="T141" s="220">
        <v>0</v>
      </c>
      <c r="U141" s="221">
        <v>0</v>
      </c>
      <c r="V141" s="221">
        <v>0</v>
      </c>
      <c r="W141" s="221">
        <v>0</v>
      </c>
      <c r="X141" s="221">
        <v>0</v>
      </c>
      <c r="Y141" s="221">
        <v>0</v>
      </c>
      <c r="Z141" s="221">
        <v>0</v>
      </c>
      <c r="AA141" s="221">
        <v>0</v>
      </c>
      <c r="AB141" s="221">
        <v>0</v>
      </c>
      <c r="AC141" s="221">
        <v>0</v>
      </c>
      <c r="AD141" s="221">
        <v>0</v>
      </c>
      <c r="AE141" s="221">
        <v>0</v>
      </c>
      <c r="AF141" s="218">
        <v>0</v>
      </c>
      <c r="AG141" s="180"/>
      <c r="AH141" s="202"/>
      <c r="AI141" s="203"/>
      <c r="AJ141" s="203"/>
      <c r="AK141" s="203"/>
      <c r="AL141" s="203"/>
      <c r="AM141" s="216"/>
      <c r="AN141" s="203">
        <v>-475.5</v>
      </c>
      <c r="AO141" s="203"/>
      <c r="AP141" s="203"/>
      <c r="AQ141" s="203"/>
      <c r="AR141" s="203"/>
      <c r="AS141" s="203"/>
      <c r="AT141" s="205">
        <v>-475.5</v>
      </c>
      <c r="AU141" s="180"/>
      <c r="AV141" s="180"/>
    </row>
    <row r="142" spans="1:48" ht="13.5" hidden="1" customHeight="1">
      <c r="A142" s="178">
        <v>520520</v>
      </c>
      <c r="B142" s="178"/>
      <c r="D142" s="201" t="s">
        <v>536</v>
      </c>
      <c r="E142" s="180" t="s">
        <v>370</v>
      </c>
      <c r="F142" s="202"/>
      <c r="G142" s="203"/>
      <c r="H142" s="203"/>
      <c r="I142" s="203"/>
      <c r="J142" s="203"/>
      <c r="K142" s="216"/>
      <c r="L142" s="203"/>
      <c r="M142" s="203"/>
      <c r="N142" s="203"/>
      <c r="O142" s="203"/>
      <c r="P142" s="203"/>
      <c r="Q142" s="203"/>
      <c r="R142" s="205">
        <v>0</v>
      </c>
      <c r="S142" s="180"/>
      <c r="T142" s="220">
        <v>0</v>
      </c>
      <c r="U142" s="221">
        <v>0</v>
      </c>
      <c r="V142" s="221">
        <v>0</v>
      </c>
      <c r="W142" s="221">
        <v>0</v>
      </c>
      <c r="X142" s="221">
        <v>0</v>
      </c>
      <c r="Y142" s="221">
        <v>0</v>
      </c>
      <c r="Z142" s="221">
        <v>0</v>
      </c>
      <c r="AA142" s="221">
        <v>0</v>
      </c>
      <c r="AB142" s="221">
        <v>0</v>
      </c>
      <c r="AC142" s="221">
        <v>0</v>
      </c>
      <c r="AD142" s="221">
        <v>0</v>
      </c>
      <c r="AE142" s="221">
        <v>0</v>
      </c>
      <c r="AF142" s="218">
        <v>0</v>
      </c>
      <c r="AG142" s="180"/>
      <c r="AH142" s="202">
        <v>-197.2</v>
      </c>
      <c r="AI142" s="203">
        <v>-200</v>
      </c>
      <c r="AJ142" s="203"/>
      <c r="AK142" s="203">
        <v>-551.79</v>
      </c>
      <c r="AL142" s="203"/>
      <c r="AM142" s="216"/>
      <c r="AN142" s="203"/>
      <c r="AO142" s="203">
        <v>-820.59</v>
      </c>
      <c r="AP142" s="203">
        <v>-290.45999999999998</v>
      </c>
      <c r="AQ142" s="203"/>
      <c r="AR142" s="203">
        <v>-177.55</v>
      </c>
      <c r="AS142" s="203">
        <v>-189</v>
      </c>
      <c r="AT142" s="205">
        <v>-2426.59</v>
      </c>
      <c r="AU142" s="180"/>
      <c r="AV142" s="180"/>
    </row>
    <row r="143" spans="1:48" ht="13.5" hidden="1" customHeight="1">
      <c r="A143" s="178">
        <v>520530</v>
      </c>
      <c r="B143" s="178"/>
      <c r="D143" s="201" t="s">
        <v>537</v>
      </c>
      <c r="E143" s="180" t="s">
        <v>370</v>
      </c>
      <c r="F143" s="202"/>
      <c r="G143" s="203"/>
      <c r="H143" s="203"/>
      <c r="I143" s="203"/>
      <c r="J143" s="203"/>
      <c r="K143" s="216"/>
      <c r="L143" s="203"/>
      <c r="M143" s="203"/>
      <c r="N143" s="203"/>
      <c r="O143" s="203"/>
      <c r="P143" s="203"/>
      <c r="Q143" s="203"/>
      <c r="R143" s="205">
        <v>0</v>
      </c>
      <c r="S143" s="180"/>
      <c r="T143" s="220">
        <v>0</v>
      </c>
      <c r="U143" s="221">
        <v>0</v>
      </c>
      <c r="V143" s="221">
        <v>0</v>
      </c>
      <c r="W143" s="221">
        <v>0</v>
      </c>
      <c r="X143" s="221">
        <v>0</v>
      </c>
      <c r="Y143" s="221">
        <v>0</v>
      </c>
      <c r="Z143" s="221">
        <v>0</v>
      </c>
      <c r="AA143" s="221">
        <v>0</v>
      </c>
      <c r="AB143" s="221">
        <v>0</v>
      </c>
      <c r="AC143" s="221">
        <v>0</v>
      </c>
      <c r="AD143" s="221">
        <v>0</v>
      </c>
      <c r="AE143" s="221">
        <v>0</v>
      </c>
      <c r="AF143" s="218">
        <v>0</v>
      </c>
      <c r="AG143" s="180"/>
      <c r="AH143" s="202"/>
      <c r="AI143" s="203"/>
      <c r="AJ143" s="203"/>
      <c r="AK143" s="203"/>
      <c r="AL143" s="203"/>
      <c r="AM143" s="216"/>
      <c r="AN143" s="203"/>
      <c r="AO143" s="203"/>
      <c r="AP143" s="203"/>
      <c r="AQ143" s="203">
        <v>-1280</v>
      </c>
      <c r="AR143" s="203"/>
      <c r="AS143" s="203"/>
      <c r="AT143" s="205">
        <v>-1280</v>
      </c>
      <c r="AU143" s="180"/>
      <c r="AV143" s="180"/>
    </row>
    <row r="144" spans="1:48" ht="13.5" hidden="1" customHeight="1">
      <c r="A144" s="178">
        <v>520540</v>
      </c>
      <c r="B144" s="178"/>
      <c r="D144" s="201" t="s">
        <v>538</v>
      </c>
      <c r="E144" s="180" t="s">
        <v>370</v>
      </c>
      <c r="F144" s="202"/>
      <c r="G144" s="203"/>
      <c r="H144" s="203"/>
      <c r="I144" s="203"/>
      <c r="J144" s="203"/>
      <c r="K144" s="216"/>
      <c r="L144" s="203"/>
      <c r="M144" s="203"/>
      <c r="N144" s="203"/>
      <c r="O144" s="203"/>
      <c r="P144" s="203"/>
      <c r="Q144" s="203"/>
      <c r="R144" s="205">
        <v>0</v>
      </c>
      <c r="S144" s="180"/>
      <c r="T144" s="220">
        <v>0</v>
      </c>
      <c r="U144" s="221">
        <v>0</v>
      </c>
      <c r="V144" s="221">
        <v>0</v>
      </c>
      <c r="W144" s="221">
        <v>0</v>
      </c>
      <c r="X144" s="221">
        <v>0</v>
      </c>
      <c r="Y144" s="221">
        <v>0</v>
      </c>
      <c r="Z144" s="221">
        <v>0</v>
      </c>
      <c r="AA144" s="221">
        <v>0</v>
      </c>
      <c r="AB144" s="221">
        <v>0</v>
      </c>
      <c r="AC144" s="221">
        <v>0</v>
      </c>
      <c r="AD144" s="221">
        <v>0</v>
      </c>
      <c r="AE144" s="221">
        <v>0</v>
      </c>
      <c r="AF144" s="218">
        <v>0</v>
      </c>
      <c r="AG144" s="180"/>
      <c r="AH144" s="202"/>
      <c r="AI144" s="203"/>
      <c r="AJ144" s="203"/>
      <c r="AK144" s="203"/>
      <c r="AL144" s="203"/>
      <c r="AM144" s="216"/>
      <c r="AN144" s="203"/>
      <c r="AO144" s="203"/>
      <c r="AP144" s="203"/>
      <c r="AQ144" s="203"/>
      <c r="AR144" s="203"/>
      <c r="AS144" s="203">
        <v>-607.75</v>
      </c>
      <c r="AT144" s="205">
        <v>-607.75</v>
      </c>
      <c r="AU144" s="180"/>
      <c r="AV144" s="180"/>
    </row>
    <row r="145" spans="1:48" ht="13.5" hidden="1" customHeight="1">
      <c r="A145" s="178">
        <v>520550</v>
      </c>
      <c r="B145" s="178"/>
      <c r="D145" s="201" t="s">
        <v>539</v>
      </c>
      <c r="E145" s="180" t="s">
        <v>370</v>
      </c>
      <c r="F145" s="202"/>
      <c r="G145" s="203"/>
      <c r="H145" s="203"/>
      <c r="I145" s="203"/>
      <c r="J145" s="203"/>
      <c r="K145" s="216"/>
      <c r="L145" s="203"/>
      <c r="M145" s="203"/>
      <c r="N145" s="203"/>
      <c r="O145" s="203"/>
      <c r="P145" s="203"/>
      <c r="Q145" s="203"/>
      <c r="R145" s="205">
        <v>0</v>
      </c>
      <c r="S145" s="180"/>
      <c r="T145" s="220">
        <v>0</v>
      </c>
      <c r="U145" s="221">
        <v>0</v>
      </c>
      <c r="V145" s="221">
        <v>0</v>
      </c>
      <c r="W145" s="221">
        <v>0</v>
      </c>
      <c r="X145" s="221">
        <v>0</v>
      </c>
      <c r="Y145" s="221">
        <v>0</v>
      </c>
      <c r="Z145" s="221">
        <v>0</v>
      </c>
      <c r="AA145" s="221">
        <v>0</v>
      </c>
      <c r="AB145" s="221">
        <v>0</v>
      </c>
      <c r="AC145" s="221">
        <v>0</v>
      </c>
      <c r="AD145" s="221">
        <v>0</v>
      </c>
      <c r="AE145" s="221">
        <v>0</v>
      </c>
      <c r="AF145" s="218">
        <v>0</v>
      </c>
      <c r="AG145" s="180"/>
      <c r="AH145" s="202"/>
      <c r="AI145" s="203"/>
      <c r="AJ145" s="203"/>
      <c r="AK145" s="203"/>
      <c r="AL145" s="203"/>
      <c r="AM145" s="216"/>
      <c r="AN145" s="203"/>
      <c r="AO145" s="203"/>
      <c r="AP145" s="203"/>
      <c r="AQ145" s="203"/>
      <c r="AR145" s="203"/>
      <c r="AS145" s="203"/>
      <c r="AT145" s="205">
        <v>0</v>
      </c>
      <c r="AU145" s="180"/>
      <c r="AV145" s="180"/>
    </row>
    <row r="146" spans="1:48" ht="13.5" hidden="1" customHeight="1">
      <c r="A146" s="178">
        <v>520560</v>
      </c>
      <c r="B146" s="178"/>
      <c r="D146" s="201" t="s">
        <v>540</v>
      </c>
      <c r="E146" s="180" t="s">
        <v>370</v>
      </c>
      <c r="F146" s="202"/>
      <c r="G146" s="203"/>
      <c r="H146" s="203"/>
      <c r="I146" s="203"/>
      <c r="J146" s="203"/>
      <c r="K146" s="216"/>
      <c r="L146" s="203"/>
      <c r="M146" s="203"/>
      <c r="N146" s="203"/>
      <c r="O146" s="203"/>
      <c r="P146" s="203"/>
      <c r="Q146" s="203"/>
      <c r="R146" s="205">
        <v>0</v>
      </c>
      <c r="S146" s="180"/>
      <c r="T146" s="220">
        <v>0</v>
      </c>
      <c r="U146" s="221">
        <v>0</v>
      </c>
      <c r="V146" s="221">
        <v>0</v>
      </c>
      <c r="W146" s="221">
        <v>0</v>
      </c>
      <c r="X146" s="221">
        <v>0</v>
      </c>
      <c r="Y146" s="221">
        <v>0</v>
      </c>
      <c r="Z146" s="221">
        <v>0</v>
      </c>
      <c r="AA146" s="221">
        <v>0</v>
      </c>
      <c r="AB146" s="221">
        <v>0</v>
      </c>
      <c r="AC146" s="221">
        <v>0</v>
      </c>
      <c r="AD146" s="221">
        <v>0</v>
      </c>
      <c r="AE146" s="221">
        <v>0</v>
      </c>
      <c r="AF146" s="218">
        <v>0</v>
      </c>
      <c r="AG146" s="180"/>
      <c r="AH146" s="202"/>
      <c r="AI146" s="203"/>
      <c r="AJ146" s="203"/>
      <c r="AK146" s="203"/>
      <c r="AL146" s="203"/>
      <c r="AM146" s="216"/>
      <c r="AN146" s="203"/>
      <c r="AO146" s="203"/>
      <c r="AP146" s="203"/>
      <c r="AQ146" s="203"/>
      <c r="AR146" s="203"/>
      <c r="AS146" s="203"/>
      <c r="AT146" s="205">
        <v>0</v>
      </c>
      <c r="AU146" s="180"/>
      <c r="AV146" s="180"/>
    </row>
    <row r="147" spans="1:48" ht="13.5" hidden="1" customHeight="1">
      <c r="A147" s="178">
        <v>530110</v>
      </c>
      <c r="B147" s="178">
        <v>51002190</v>
      </c>
      <c r="D147" s="201" t="s">
        <v>541</v>
      </c>
      <c r="E147" s="180" t="s">
        <v>370</v>
      </c>
      <c r="F147" s="202"/>
      <c r="G147" s="203"/>
      <c r="H147" s="203"/>
      <c r="I147" s="203"/>
      <c r="J147" s="203"/>
      <c r="K147" s="216"/>
      <c r="L147" s="203"/>
      <c r="M147" s="203"/>
      <c r="N147" s="203"/>
      <c r="O147" s="203"/>
      <c r="P147" s="203"/>
      <c r="Q147" s="203"/>
      <c r="R147" s="205">
        <v>0</v>
      </c>
      <c r="S147" s="180"/>
      <c r="T147" s="220">
        <v>0</v>
      </c>
      <c r="U147" s="221">
        <v>0</v>
      </c>
      <c r="V147" s="221">
        <v>0</v>
      </c>
      <c r="W147" s="221">
        <v>0</v>
      </c>
      <c r="X147" s="221">
        <v>0</v>
      </c>
      <c r="Y147" s="221">
        <v>0</v>
      </c>
      <c r="Z147" s="221">
        <v>0</v>
      </c>
      <c r="AA147" s="221">
        <v>0</v>
      </c>
      <c r="AB147" s="221">
        <v>0</v>
      </c>
      <c r="AC147" s="221">
        <v>0</v>
      </c>
      <c r="AD147" s="221">
        <v>0</v>
      </c>
      <c r="AE147" s="221">
        <v>0</v>
      </c>
      <c r="AF147" s="218">
        <v>0</v>
      </c>
      <c r="AG147" s="180"/>
      <c r="AH147" s="202"/>
      <c r="AI147" s="203"/>
      <c r="AJ147" s="203"/>
      <c r="AK147" s="203"/>
      <c r="AL147" s="203"/>
      <c r="AM147" s="216"/>
      <c r="AN147" s="203"/>
      <c r="AO147" s="203"/>
      <c r="AP147" s="203"/>
      <c r="AQ147" s="203"/>
      <c r="AR147" s="203"/>
      <c r="AS147" s="203"/>
      <c r="AT147" s="205">
        <v>0</v>
      </c>
      <c r="AU147" s="180"/>
      <c r="AV147" s="180"/>
    </row>
    <row r="148" spans="1:48" ht="13.5" hidden="1" customHeight="1">
      <c r="A148" s="178">
        <v>530120</v>
      </c>
      <c r="B148" s="178">
        <v>51006130</v>
      </c>
      <c r="D148" s="201" t="s">
        <v>542</v>
      </c>
      <c r="E148" s="180" t="s">
        <v>370</v>
      </c>
      <c r="F148" s="202"/>
      <c r="G148" s="203"/>
      <c r="H148" s="203"/>
      <c r="I148" s="203"/>
      <c r="J148" s="203"/>
      <c r="K148" s="216"/>
      <c r="L148" s="203"/>
      <c r="M148" s="203"/>
      <c r="N148" s="203"/>
      <c r="O148" s="203"/>
      <c r="P148" s="203"/>
      <c r="Q148" s="203"/>
      <c r="R148" s="205">
        <v>0</v>
      </c>
      <c r="S148" s="180"/>
      <c r="T148" s="220">
        <v>0</v>
      </c>
      <c r="U148" s="221">
        <v>0</v>
      </c>
      <c r="V148" s="221">
        <v>0</v>
      </c>
      <c r="W148" s="221">
        <v>0</v>
      </c>
      <c r="X148" s="221">
        <v>0</v>
      </c>
      <c r="Y148" s="221">
        <v>0</v>
      </c>
      <c r="Z148" s="221">
        <v>0</v>
      </c>
      <c r="AA148" s="221">
        <v>0</v>
      </c>
      <c r="AB148" s="221">
        <v>0</v>
      </c>
      <c r="AC148" s="221">
        <v>0</v>
      </c>
      <c r="AD148" s="221">
        <v>0</v>
      </c>
      <c r="AE148" s="221">
        <v>0</v>
      </c>
      <c r="AF148" s="218">
        <v>0</v>
      </c>
      <c r="AG148" s="180"/>
      <c r="AH148" s="202"/>
      <c r="AI148" s="203"/>
      <c r="AJ148" s="203"/>
      <c r="AK148" s="203"/>
      <c r="AL148" s="203"/>
      <c r="AM148" s="216"/>
      <c r="AN148" s="203"/>
      <c r="AO148" s="203"/>
      <c r="AP148" s="203"/>
      <c r="AQ148" s="203"/>
      <c r="AR148" s="203"/>
      <c r="AS148" s="203"/>
      <c r="AT148" s="205">
        <v>0</v>
      </c>
      <c r="AU148" s="180"/>
      <c r="AV148" s="180"/>
    </row>
    <row r="149" spans="1:48" ht="13.5" hidden="1" customHeight="1">
      <c r="A149" s="178">
        <v>530130</v>
      </c>
      <c r="B149" s="178"/>
      <c r="D149" s="263" t="s">
        <v>543</v>
      </c>
      <c r="E149" s="180" t="s">
        <v>370</v>
      </c>
      <c r="F149" s="264"/>
      <c r="G149" s="265"/>
      <c r="H149" s="265"/>
      <c r="I149" s="265"/>
      <c r="J149" s="265"/>
      <c r="K149" s="265"/>
      <c r="L149" s="266"/>
      <c r="M149" s="266"/>
      <c r="N149" s="266"/>
      <c r="O149" s="265"/>
      <c r="P149" s="265"/>
      <c r="Q149" s="267"/>
      <c r="R149" s="205">
        <v>0</v>
      </c>
      <c r="S149" s="180"/>
      <c r="T149" s="220">
        <v>0</v>
      </c>
      <c r="U149" s="221">
        <v>0</v>
      </c>
      <c r="V149" s="221">
        <v>0</v>
      </c>
      <c r="W149" s="221">
        <v>0</v>
      </c>
      <c r="X149" s="221">
        <v>0</v>
      </c>
      <c r="Y149" s="221">
        <v>0</v>
      </c>
      <c r="Z149" s="221">
        <v>0</v>
      </c>
      <c r="AA149" s="221">
        <v>0</v>
      </c>
      <c r="AB149" s="221">
        <v>0</v>
      </c>
      <c r="AC149" s="221">
        <v>0</v>
      </c>
      <c r="AD149" s="221">
        <v>0</v>
      </c>
      <c r="AE149" s="221">
        <v>0</v>
      </c>
      <c r="AF149" s="218">
        <v>0</v>
      </c>
      <c r="AG149" s="180"/>
      <c r="AH149" s="268">
        <v>-13790.593360312099</v>
      </c>
      <c r="AI149" s="269">
        <v>-13789.875199345501</v>
      </c>
      <c r="AJ149" s="269">
        <v>-13790.09</v>
      </c>
      <c r="AK149" s="269">
        <v>-13790.09</v>
      </c>
      <c r="AL149" s="269">
        <v>-13790.09</v>
      </c>
      <c r="AM149" s="269">
        <v>-13790.09</v>
      </c>
      <c r="AN149" s="270">
        <v>-139790.09</v>
      </c>
      <c r="AO149" s="270">
        <v>-30203.57</v>
      </c>
      <c r="AP149" s="270">
        <v>-29584.73</v>
      </c>
      <c r="AQ149" s="269"/>
      <c r="AR149" s="269"/>
      <c r="AS149" s="271"/>
      <c r="AT149" s="205">
        <v>-282319.21855965798</v>
      </c>
      <c r="AU149" s="180"/>
      <c r="AV149" s="180"/>
    </row>
    <row r="150" spans="1:48" ht="13.5" hidden="1" customHeight="1">
      <c r="A150" s="178">
        <v>530140</v>
      </c>
      <c r="B150" s="178"/>
      <c r="D150" s="201" t="s">
        <v>544</v>
      </c>
      <c r="E150" s="180" t="s">
        <v>370</v>
      </c>
      <c r="F150" s="202">
        <v>-1862</v>
      </c>
      <c r="G150" s="203"/>
      <c r="H150" s="203">
        <v>-227</v>
      </c>
      <c r="I150" s="203"/>
      <c r="J150" s="203"/>
      <c r="K150" s="216"/>
      <c r="L150" s="203"/>
      <c r="M150" s="203"/>
      <c r="N150" s="203"/>
      <c r="O150" s="203"/>
      <c r="P150" s="203"/>
      <c r="Q150" s="203"/>
      <c r="R150" s="205">
        <v>-1253</v>
      </c>
      <c r="S150" s="180"/>
      <c r="T150" s="220">
        <v>0</v>
      </c>
      <c r="U150" s="221">
        <v>0</v>
      </c>
      <c r="V150" s="221">
        <v>0</v>
      </c>
      <c r="W150" s="221">
        <v>0</v>
      </c>
      <c r="X150" s="221">
        <v>0</v>
      </c>
      <c r="Y150" s="221">
        <v>0</v>
      </c>
      <c r="Z150" s="221">
        <v>0</v>
      </c>
      <c r="AA150" s="221">
        <v>0</v>
      </c>
      <c r="AB150" s="221">
        <v>0</v>
      </c>
      <c r="AC150" s="221">
        <v>0</v>
      </c>
      <c r="AD150" s="221">
        <v>0</v>
      </c>
      <c r="AE150" s="221">
        <v>0</v>
      </c>
      <c r="AF150" s="218">
        <v>0</v>
      </c>
      <c r="AG150" s="180"/>
      <c r="AH150" s="202"/>
      <c r="AI150" s="203"/>
      <c r="AJ150" s="203"/>
      <c r="AK150" s="203"/>
      <c r="AL150" s="203">
        <v>-1015</v>
      </c>
      <c r="AM150" s="216"/>
      <c r="AN150" s="203"/>
      <c r="AO150" s="203"/>
      <c r="AP150" s="203"/>
      <c r="AQ150" s="203"/>
      <c r="AR150" s="203">
        <v>-238</v>
      </c>
      <c r="AS150" s="203"/>
      <c r="AT150" s="205">
        <v>-1253</v>
      </c>
      <c r="AU150" s="180"/>
      <c r="AV150" s="180"/>
    </row>
    <row r="151" spans="1:48" ht="13.5" hidden="1" customHeight="1">
      <c r="A151" s="178">
        <v>530150</v>
      </c>
      <c r="B151" s="178"/>
      <c r="D151" s="201" t="s">
        <v>545</v>
      </c>
      <c r="E151" s="180" t="s">
        <v>370</v>
      </c>
      <c r="F151" s="202"/>
      <c r="G151" s="203"/>
      <c r="H151" s="203"/>
      <c r="I151" s="203"/>
      <c r="J151" s="203"/>
      <c r="K151" s="216"/>
      <c r="L151" s="203"/>
      <c r="M151" s="203"/>
      <c r="N151" s="203"/>
      <c r="O151" s="203"/>
      <c r="P151" s="203"/>
      <c r="Q151" s="203"/>
      <c r="R151" s="205">
        <v>-2756.67</v>
      </c>
      <c r="S151" s="180"/>
      <c r="T151" s="220">
        <v>0</v>
      </c>
      <c r="U151" s="221">
        <v>0</v>
      </c>
      <c r="V151" s="221">
        <v>0</v>
      </c>
      <c r="W151" s="221">
        <v>0</v>
      </c>
      <c r="X151" s="221">
        <v>0</v>
      </c>
      <c r="Y151" s="221">
        <v>0</v>
      </c>
      <c r="Z151" s="221">
        <v>0</v>
      </c>
      <c r="AA151" s="221">
        <v>0</v>
      </c>
      <c r="AB151" s="221">
        <v>0</v>
      </c>
      <c r="AC151" s="221">
        <v>0</v>
      </c>
      <c r="AD151" s="221">
        <v>0</v>
      </c>
      <c r="AE151" s="221">
        <v>0</v>
      </c>
      <c r="AF151" s="218">
        <v>0</v>
      </c>
      <c r="AG151" s="180"/>
      <c r="AH151" s="202"/>
      <c r="AI151" s="203"/>
      <c r="AJ151" s="203">
        <v>-100</v>
      </c>
      <c r="AK151" s="203"/>
      <c r="AL151" s="203">
        <v>-1270.5</v>
      </c>
      <c r="AM151" s="216"/>
      <c r="AN151" s="203"/>
      <c r="AO151" s="203"/>
      <c r="AP151" s="203">
        <v>-984</v>
      </c>
      <c r="AQ151" s="203"/>
      <c r="AR151" s="203">
        <v>-111</v>
      </c>
      <c r="AS151" s="203">
        <v>-291.17</v>
      </c>
      <c r="AT151" s="205">
        <v>-2756.67</v>
      </c>
      <c r="AU151" s="180"/>
      <c r="AV151" s="180"/>
    </row>
    <row r="152" spans="1:48" ht="13.5" hidden="1" customHeight="1">
      <c r="A152" s="178">
        <v>540110</v>
      </c>
      <c r="B152" s="178">
        <v>51007110</v>
      </c>
      <c r="D152" s="201" t="s">
        <v>546</v>
      </c>
      <c r="E152" s="180" t="s">
        <v>370</v>
      </c>
      <c r="F152" s="202">
        <v>-246977.91</v>
      </c>
      <c r="G152" s="203">
        <v>-247059.98</v>
      </c>
      <c r="H152" s="203">
        <v>-249026.97</v>
      </c>
      <c r="I152" s="203"/>
      <c r="J152" s="203"/>
      <c r="K152" s="216"/>
      <c r="L152" s="203"/>
      <c r="M152" s="203"/>
      <c r="N152" s="203"/>
      <c r="O152" s="203"/>
      <c r="P152" s="203"/>
      <c r="Q152" s="203"/>
      <c r="R152" s="205">
        <v>-743064.86</v>
      </c>
      <c r="S152" s="180"/>
      <c r="T152" s="220">
        <v>-246977.91</v>
      </c>
      <c r="U152" s="221">
        <v>-246977.91</v>
      </c>
      <c r="V152" s="221">
        <v>-246977.91</v>
      </c>
      <c r="W152" s="221">
        <v>-246977.91</v>
      </c>
      <c r="X152" s="221">
        <v>-246977.91</v>
      </c>
      <c r="Y152" s="221">
        <v>-246977.91</v>
      </c>
      <c r="Z152" s="221">
        <v>-246977.91</v>
      </c>
      <c r="AA152" s="221">
        <v>-246977.91</v>
      </c>
      <c r="AB152" s="221">
        <v>-246977.91</v>
      </c>
      <c r="AC152" s="221">
        <v>-246977.91</v>
      </c>
      <c r="AD152" s="221">
        <v>-246977.91</v>
      </c>
      <c r="AE152" s="221">
        <v>-246977.91</v>
      </c>
      <c r="AF152" s="218">
        <v>-740933.73</v>
      </c>
      <c r="AG152" s="180"/>
      <c r="AH152" s="202">
        <v>-246977.91</v>
      </c>
      <c r="AI152" s="203">
        <v>-246977.91</v>
      </c>
      <c r="AJ152" s="203">
        <v>-246977.91</v>
      </c>
      <c r="AK152" s="203">
        <v>-246977.91</v>
      </c>
      <c r="AL152" s="203">
        <v>-246977.91</v>
      </c>
      <c r="AM152" s="216">
        <v>-246977.91</v>
      </c>
      <c r="AN152" s="203">
        <v>-246977.91</v>
      </c>
      <c r="AO152" s="203">
        <v>-246977.91</v>
      </c>
      <c r="AP152" s="203">
        <v>-246977.91</v>
      </c>
      <c r="AQ152" s="203">
        <v>-246977.91</v>
      </c>
      <c r="AR152" s="203">
        <v>-246977.91</v>
      </c>
      <c r="AS152" s="203">
        <v>-246977.91</v>
      </c>
      <c r="AT152" s="205">
        <v>-2963734.92</v>
      </c>
      <c r="AU152" s="180"/>
      <c r="AV152" s="180"/>
    </row>
    <row r="153" spans="1:48" ht="13.5" hidden="1" customHeight="1">
      <c r="A153" s="178">
        <v>540115</v>
      </c>
      <c r="B153" s="178">
        <v>51007115</v>
      </c>
      <c r="D153" s="201" t="s">
        <v>547</v>
      </c>
      <c r="E153" s="180" t="s">
        <v>370</v>
      </c>
      <c r="F153" s="202">
        <v>-149139.84</v>
      </c>
      <c r="G153" s="203">
        <v>-148036.41</v>
      </c>
      <c r="H153" s="203">
        <v>-146139.03</v>
      </c>
      <c r="I153" s="203"/>
      <c r="J153" s="203"/>
      <c r="K153" s="216"/>
      <c r="L153" s="203"/>
      <c r="M153" s="203"/>
      <c r="N153" s="203"/>
      <c r="O153" s="203"/>
      <c r="P153" s="203"/>
      <c r="Q153" s="203"/>
      <c r="R153" s="205">
        <v>-443315.28</v>
      </c>
      <c r="S153" s="180"/>
      <c r="T153" s="220">
        <v>-164231.5</v>
      </c>
      <c r="U153" s="221">
        <v>-164231.5</v>
      </c>
      <c r="V153" s="221">
        <v>-164231.5</v>
      </c>
      <c r="W153" s="221">
        <v>-179777.61111111101</v>
      </c>
      <c r="X153" s="221">
        <v>-179777.61111111101</v>
      </c>
      <c r="Y153" s="221">
        <v>-179777.61111111101</v>
      </c>
      <c r="Z153" s="221">
        <v>-179777.61111111101</v>
      </c>
      <c r="AA153" s="221">
        <v>-179777.61111111101</v>
      </c>
      <c r="AB153" s="221">
        <v>-179777.61111111101</v>
      </c>
      <c r="AC153" s="221">
        <v>-179777.61111111101</v>
      </c>
      <c r="AD153" s="221">
        <v>-179777.61111111101</v>
      </c>
      <c r="AE153" s="221">
        <v>-179777.61111111101</v>
      </c>
      <c r="AF153" s="218">
        <v>-492694.5</v>
      </c>
      <c r="AG153" s="180"/>
      <c r="AH153" s="202">
        <v>-142224.53</v>
      </c>
      <c r="AI153" s="203">
        <v>-142349.76000000001</v>
      </c>
      <c r="AJ153" s="203">
        <v>-146959.53</v>
      </c>
      <c r="AK153" s="203">
        <v>-145389.57</v>
      </c>
      <c r="AL153" s="203">
        <v>-147251.4</v>
      </c>
      <c r="AM153" s="216">
        <v>-147251.4</v>
      </c>
      <c r="AN153" s="203">
        <v>-149211.04999999999</v>
      </c>
      <c r="AO153" s="203">
        <v>-154896.60999999999</v>
      </c>
      <c r="AP153" s="203">
        <v>-159231.5</v>
      </c>
      <c r="AQ153" s="203">
        <v>-159735.28</v>
      </c>
      <c r="AR153" s="203">
        <v>-160662.89000000001</v>
      </c>
      <c r="AS153" s="203">
        <v>-161932.62</v>
      </c>
      <c r="AT153" s="205">
        <v>-1817096.14</v>
      </c>
      <c r="AU153" s="180"/>
      <c r="AV153" s="180"/>
    </row>
    <row r="154" spans="1:48" ht="13.5" hidden="1" customHeight="1">
      <c r="A154" s="178">
        <v>540118</v>
      </c>
      <c r="B154" s="178">
        <v>51007118</v>
      </c>
      <c r="D154" s="201" t="s">
        <v>548</v>
      </c>
      <c r="E154" s="180" t="s">
        <v>370</v>
      </c>
      <c r="F154" s="202">
        <v>-211642.23</v>
      </c>
      <c r="G154" s="203">
        <v>-261724.32</v>
      </c>
      <c r="H154" s="203">
        <v>-263607.26</v>
      </c>
      <c r="I154" s="203"/>
      <c r="J154" s="203"/>
      <c r="K154" s="216"/>
      <c r="L154" s="203"/>
      <c r="M154" s="203"/>
      <c r="N154" s="203"/>
      <c r="O154" s="203"/>
      <c r="P154" s="203"/>
      <c r="Q154" s="203"/>
      <c r="R154" s="205">
        <v>-736973.81</v>
      </c>
      <c r="S154" s="180"/>
      <c r="T154" s="220">
        <v>-249428.07761904801</v>
      </c>
      <c r="U154" s="221">
        <v>-249428.07761904801</v>
      </c>
      <c r="V154" s="221">
        <v>-249428.07761904801</v>
      </c>
      <c r="W154" s="221">
        <v>-266062.99825396802</v>
      </c>
      <c r="X154" s="221">
        <v>-266062.99825396802</v>
      </c>
      <c r="Y154" s="221">
        <v>-266062.99825396802</v>
      </c>
      <c r="Z154" s="221">
        <v>-266062.99825396802</v>
      </c>
      <c r="AA154" s="221">
        <v>-266062.99825396802</v>
      </c>
      <c r="AB154" s="221">
        <v>-266062.99825396802</v>
      </c>
      <c r="AC154" s="221">
        <v>-266062.99825396802</v>
      </c>
      <c r="AD154" s="221">
        <v>-266062.99825396802</v>
      </c>
      <c r="AE154" s="221">
        <v>-266062.99825396802</v>
      </c>
      <c r="AF154" s="218">
        <v>-748284.23285714304</v>
      </c>
      <c r="AG154" s="180"/>
      <c r="AH154" s="202">
        <v>-172460.12</v>
      </c>
      <c r="AI154" s="203">
        <v>-172460.12</v>
      </c>
      <c r="AJ154" s="203">
        <v>-172460.12</v>
      </c>
      <c r="AK154" s="203">
        <v>-172460.12</v>
      </c>
      <c r="AL154" s="203">
        <v>-172460.12</v>
      </c>
      <c r="AM154" s="216">
        <v>-172460.12</v>
      </c>
      <c r="AN154" s="203">
        <v>-184936.83</v>
      </c>
      <c r="AO154" s="203">
        <v>-186923.53</v>
      </c>
      <c r="AP154" s="203">
        <v>-186923.53</v>
      </c>
      <c r="AQ154" s="203">
        <v>-216508.26</v>
      </c>
      <c r="AR154" s="203">
        <v>-215790.64</v>
      </c>
      <c r="AS154" s="203">
        <v>-221922.26</v>
      </c>
      <c r="AT154" s="205">
        <v>-2247765.77</v>
      </c>
      <c r="AU154" s="180"/>
      <c r="AV154" s="180"/>
    </row>
    <row r="155" spans="1:48" ht="13.5" hidden="1" customHeight="1">
      <c r="A155" s="178">
        <v>540120</v>
      </c>
      <c r="B155" s="178">
        <v>51007120</v>
      </c>
      <c r="D155" s="201" t="s">
        <v>549</v>
      </c>
      <c r="E155" s="180" t="s">
        <v>370</v>
      </c>
      <c r="F155" s="202">
        <v>-59463.66</v>
      </c>
      <c r="G155" s="203">
        <v>-59463.46</v>
      </c>
      <c r="H155" s="203">
        <v>-49445.56</v>
      </c>
      <c r="I155" s="203"/>
      <c r="J155" s="203"/>
      <c r="K155" s="216"/>
      <c r="L155" s="203"/>
      <c r="M155" s="203"/>
      <c r="N155" s="203"/>
      <c r="O155" s="203"/>
      <c r="P155" s="203"/>
      <c r="Q155" s="203"/>
      <c r="R155" s="205">
        <v>-168372.68</v>
      </c>
      <c r="S155" s="180"/>
      <c r="T155" s="220">
        <v>-60205.14</v>
      </c>
      <c r="U155" s="221">
        <v>-60205.14</v>
      </c>
      <c r="V155" s="221">
        <v>-60205.14</v>
      </c>
      <c r="W155" s="221">
        <v>-70563.473333333299</v>
      </c>
      <c r="X155" s="221">
        <v>-70563.473333333299</v>
      </c>
      <c r="Y155" s="221">
        <v>-70563.473333333299</v>
      </c>
      <c r="Z155" s="221">
        <v>-70563.473333333299</v>
      </c>
      <c r="AA155" s="221">
        <v>-70563.473333333299</v>
      </c>
      <c r="AB155" s="221">
        <v>-70563.473333333299</v>
      </c>
      <c r="AC155" s="221">
        <v>-70563.473333333299</v>
      </c>
      <c r="AD155" s="221">
        <v>-70563.473333333299</v>
      </c>
      <c r="AE155" s="221">
        <v>-70563.473333333299</v>
      </c>
      <c r="AF155" s="218">
        <v>-180615.42</v>
      </c>
      <c r="AG155" s="180"/>
      <c r="AH155" s="202">
        <v>-62397.14</v>
      </c>
      <c r="AI155" s="203">
        <v>-62397.14</v>
      </c>
      <c r="AJ155" s="203">
        <v>-62397.14</v>
      </c>
      <c r="AK155" s="203">
        <v>-59655.14</v>
      </c>
      <c r="AL155" s="203">
        <v>-59655.14</v>
      </c>
      <c r="AM155" s="216">
        <v>-59655.14</v>
      </c>
      <c r="AN155" s="203">
        <v>-59655.14</v>
      </c>
      <c r="AO155" s="203">
        <v>-59655.14</v>
      </c>
      <c r="AP155" s="203">
        <v>-59655.14</v>
      </c>
      <c r="AQ155" s="203">
        <v>-59655.14</v>
      </c>
      <c r="AR155" s="203">
        <v>-59655.14</v>
      </c>
      <c r="AS155" s="203">
        <v>-59474.09</v>
      </c>
      <c r="AT155" s="205">
        <v>-723906.63</v>
      </c>
      <c r="AU155" s="180"/>
      <c r="AV155" s="180"/>
    </row>
    <row r="156" spans="1:48" ht="13.5" hidden="1" customHeight="1">
      <c r="A156" s="178">
        <v>540123</v>
      </c>
      <c r="B156" s="178">
        <v>51007123</v>
      </c>
      <c r="D156" s="201" t="s">
        <v>550</v>
      </c>
      <c r="E156" s="180" t="s">
        <v>370</v>
      </c>
      <c r="F156" s="202">
        <v>-17969.12</v>
      </c>
      <c r="G156" s="203">
        <v>-17995.669999999998</v>
      </c>
      <c r="H156" s="203">
        <v>-18781.490000000002</v>
      </c>
      <c r="I156" s="203"/>
      <c r="J156" s="203"/>
      <c r="K156" s="216"/>
      <c r="L156" s="203"/>
      <c r="M156" s="203"/>
      <c r="N156" s="203"/>
      <c r="O156" s="203"/>
      <c r="P156" s="203"/>
      <c r="Q156" s="203"/>
      <c r="R156" s="205">
        <v>-54746.28</v>
      </c>
      <c r="S156" s="180"/>
      <c r="T156" s="220">
        <v>-22477.6933333333</v>
      </c>
      <c r="U156" s="221">
        <v>-22477.6933333333</v>
      </c>
      <c r="V156" s="221">
        <v>-22477.6933333333</v>
      </c>
      <c r="W156" s="221">
        <v>-26811.026666666701</v>
      </c>
      <c r="X156" s="221">
        <v>-26811.026666666701</v>
      </c>
      <c r="Y156" s="221">
        <v>-26811.026666666701</v>
      </c>
      <c r="Z156" s="221">
        <v>-26811.026666666701</v>
      </c>
      <c r="AA156" s="221">
        <v>-26811.026666666701</v>
      </c>
      <c r="AB156" s="221">
        <v>-26811.026666666701</v>
      </c>
      <c r="AC156" s="221">
        <v>-26811.026666666701</v>
      </c>
      <c r="AD156" s="221">
        <v>-26811.026666666701</v>
      </c>
      <c r="AE156" s="221">
        <v>-26811.026666666701</v>
      </c>
      <c r="AF156" s="218">
        <v>-67433.08</v>
      </c>
      <c r="AG156" s="180"/>
      <c r="AH156" s="202">
        <v>-12985.51</v>
      </c>
      <c r="AI156" s="203">
        <v>-12985.51</v>
      </c>
      <c r="AJ156" s="203">
        <v>-13278.78</v>
      </c>
      <c r="AK156" s="203">
        <v>-13278.78</v>
      </c>
      <c r="AL156" s="203">
        <v>-13278.78</v>
      </c>
      <c r="AM156" s="216">
        <v>-13278.78</v>
      </c>
      <c r="AN156" s="203">
        <v>-15496.85</v>
      </c>
      <c r="AO156" s="203">
        <v>-16605.16</v>
      </c>
      <c r="AP156" s="203">
        <v>-18144.36</v>
      </c>
      <c r="AQ156" s="203">
        <v>-18144.36</v>
      </c>
      <c r="AR156" s="203">
        <v>-18144.36</v>
      </c>
      <c r="AS156" s="203">
        <v>-18004.599999999999</v>
      </c>
      <c r="AT156" s="205">
        <v>-183625.83</v>
      </c>
      <c r="AU156" s="180"/>
      <c r="AV156" s="180"/>
    </row>
    <row r="157" spans="1:48" ht="13.5" hidden="1" customHeight="1">
      <c r="A157" s="178">
        <v>540125</v>
      </c>
      <c r="B157" s="178">
        <v>51007125</v>
      </c>
      <c r="D157" s="201" t="s">
        <v>551</v>
      </c>
      <c r="E157" s="180" t="s">
        <v>370</v>
      </c>
      <c r="F157" s="202">
        <v>-13648.81</v>
      </c>
      <c r="G157" s="203">
        <v>-13541.79</v>
      </c>
      <c r="H157" s="203">
        <v>-13541.79</v>
      </c>
      <c r="I157" s="203"/>
      <c r="J157" s="203"/>
      <c r="K157" s="216"/>
      <c r="L157" s="203"/>
      <c r="M157" s="203"/>
      <c r="N157" s="203"/>
      <c r="O157" s="203"/>
      <c r="P157" s="203"/>
      <c r="Q157" s="203"/>
      <c r="R157" s="205">
        <v>-40732.39</v>
      </c>
      <c r="S157" s="180"/>
      <c r="T157" s="220">
        <v>-19767.18</v>
      </c>
      <c r="U157" s="221">
        <v>-19767.18</v>
      </c>
      <c r="V157" s="221">
        <v>-19767.18</v>
      </c>
      <c r="W157" s="221">
        <v>-19767.18</v>
      </c>
      <c r="X157" s="221">
        <v>-19767.18</v>
      </c>
      <c r="Y157" s="221">
        <v>-19767.18</v>
      </c>
      <c r="Z157" s="221">
        <v>-19767.18</v>
      </c>
      <c r="AA157" s="221">
        <v>-19767.18</v>
      </c>
      <c r="AB157" s="221">
        <v>-19767.18</v>
      </c>
      <c r="AC157" s="221">
        <v>-19767.18</v>
      </c>
      <c r="AD157" s="221">
        <v>-19767.18</v>
      </c>
      <c r="AE157" s="221">
        <v>-19767.18</v>
      </c>
      <c r="AF157" s="218">
        <v>-59301.54</v>
      </c>
      <c r="AG157" s="180"/>
      <c r="AH157" s="202">
        <v>-21152.13</v>
      </c>
      <c r="AI157" s="203">
        <v>-21161.97</v>
      </c>
      <c r="AJ157" s="203">
        <v>-20628.07</v>
      </c>
      <c r="AK157" s="203">
        <v>-20234.939999999999</v>
      </c>
      <c r="AL157" s="203">
        <v>-19732.919999999998</v>
      </c>
      <c r="AM157" s="216">
        <v>-18480.02</v>
      </c>
      <c r="AN157" s="203">
        <v>-18617.18</v>
      </c>
      <c r="AO157" s="203">
        <v>-18617.18</v>
      </c>
      <c r="AP157" s="203">
        <v>-18617.18</v>
      </c>
      <c r="AQ157" s="203">
        <v>-18617.18</v>
      </c>
      <c r="AR157" s="203">
        <v>-18687.689999999999</v>
      </c>
      <c r="AS157" s="203">
        <v>-15550.22</v>
      </c>
      <c r="AT157" s="205">
        <v>-230096.68</v>
      </c>
      <c r="AU157" s="180"/>
      <c r="AV157" s="180"/>
    </row>
    <row r="158" spans="1:48" ht="13.5" hidden="1" customHeight="1">
      <c r="A158" s="178">
        <v>540130</v>
      </c>
      <c r="B158" s="178">
        <v>51007130</v>
      </c>
      <c r="D158" s="201" t="s">
        <v>552</v>
      </c>
      <c r="E158" s="180" t="s">
        <v>370</v>
      </c>
      <c r="F158" s="202">
        <v>-21191.200000000001</v>
      </c>
      <c r="G158" s="203">
        <v>-21090.52</v>
      </c>
      <c r="H158" s="203">
        <v>-21151.78</v>
      </c>
      <c r="I158" s="203"/>
      <c r="J158" s="203"/>
      <c r="K158" s="216"/>
      <c r="L158" s="203"/>
      <c r="M158" s="203"/>
      <c r="N158" s="203"/>
      <c r="O158" s="203"/>
      <c r="P158" s="203"/>
      <c r="Q158" s="203"/>
      <c r="R158" s="205">
        <v>-63433.5</v>
      </c>
      <c r="S158" s="180"/>
      <c r="T158" s="220">
        <v>-25408.799999999999</v>
      </c>
      <c r="U158" s="221">
        <v>-25408.799999999999</v>
      </c>
      <c r="V158" s="221">
        <v>-25408.799999999999</v>
      </c>
      <c r="W158" s="221">
        <v>-33968.800000000003</v>
      </c>
      <c r="X158" s="221">
        <v>-33968.800000000003</v>
      </c>
      <c r="Y158" s="221">
        <v>-33968.800000000003</v>
      </c>
      <c r="Z158" s="221">
        <v>-33968.800000000003</v>
      </c>
      <c r="AA158" s="221">
        <v>-33968.800000000003</v>
      </c>
      <c r="AB158" s="221">
        <v>-33968.800000000003</v>
      </c>
      <c r="AC158" s="221">
        <v>-33968.800000000003</v>
      </c>
      <c r="AD158" s="221">
        <v>-33968.800000000003</v>
      </c>
      <c r="AE158" s="221">
        <v>-33968.800000000003</v>
      </c>
      <c r="AF158" s="218">
        <v>-76226.399999999994</v>
      </c>
      <c r="AG158" s="180"/>
      <c r="AH158" s="202">
        <v>-23530.92</v>
      </c>
      <c r="AI158" s="203">
        <v>-23530.720000000001</v>
      </c>
      <c r="AJ158" s="203">
        <v>-23540.99</v>
      </c>
      <c r="AK158" s="203">
        <v>-23256.98</v>
      </c>
      <c r="AL158" s="203">
        <v>-22864.33</v>
      </c>
      <c r="AM158" s="216">
        <v>-22821.200000000001</v>
      </c>
      <c r="AN158" s="203">
        <v>-22457.87</v>
      </c>
      <c r="AO158" s="203">
        <v>-23608.799999999999</v>
      </c>
      <c r="AP158" s="203">
        <v>-23608.799999999999</v>
      </c>
      <c r="AQ158" s="203">
        <v>-23969.46</v>
      </c>
      <c r="AR158" s="203">
        <v>-24067.68</v>
      </c>
      <c r="AS158" s="203">
        <v>-23164.26</v>
      </c>
      <c r="AT158" s="205">
        <v>-280422.01</v>
      </c>
      <c r="AU158" s="180"/>
      <c r="AV158" s="180"/>
    </row>
    <row r="159" spans="1:48" ht="13.5" hidden="1" customHeight="1">
      <c r="A159" s="178">
        <v>540135</v>
      </c>
      <c r="B159" s="178">
        <v>51007135</v>
      </c>
      <c r="D159" s="201" t="s">
        <v>553</v>
      </c>
      <c r="E159" s="180" t="s">
        <v>370</v>
      </c>
      <c r="F159" s="202"/>
      <c r="G159" s="203"/>
      <c r="H159" s="203"/>
      <c r="I159" s="203"/>
      <c r="J159" s="203"/>
      <c r="K159" s="216"/>
      <c r="L159" s="203"/>
      <c r="M159" s="203"/>
      <c r="N159" s="203"/>
      <c r="O159" s="203"/>
      <c r="P159" s="203"/>
      <c r="Q159" s="203"/>
      <c r="R159" s="205">
        <v>0</v>
      </c>
      <c r="S159" s="180"/>
      <c r="T159" s="220">
        <v>-1350</v>
      </c>
      <c r="U159" s="221">
        <v>-1350</v>
      </c>
      <c r="V159" s="221">
        <v>-1350</v>
      </c>
      <c r="W159" s="221">
        <v>-1350</v>
      </c>
      <c r="X159" s="221">
        <v>-1350</v>
      </c>
      <c r="Y159" s="221">
        <v>-1350</v>
      </c>
      <c r="Z159" s="221">
        <v>-1350</v>
      </c>
      <c r="AA159" s="221">
        <v>-1350</v>
      </c>
      <c r="AB159" s="221">
        <v>-1350</v>
      </c>
      <c r="AC159" s="221">
        <v>-1350</v>
      </c>
      <c r="AD159" s="221">
        <v>-1350</v>
      </c>
      <c r="AE159" s="221">
        <v>-1350</v>
      </c>
      <c r="AF159" s="218">
        <v>-4050</v>
      </c>
      <c r="AG159" s="180"/>
      <c r="AH159" s="202"/>
      <c r="AI159" s="203"/>
      <c r="AJ159" s="203"/>
      <c r="AK159" s="203"/>
      <c r="AL159" s="203"/>
      <c r="AM159" s="216"/>
      <c r="AN159" s="203"/>
      <c r="AO159" s="203"/>
      <c r="AP159" s="203"/>
      <c r="AQ159" s="203"/>
      <c r="AR159" s="203"/>
      <c r="AS159" s="203"/>
      <c r="AT159" s="205">
        <v>0</v>
      </c>
      <c r="AU159" s="180"/>
      <c r="AV159" s="180"/>
    </row>
    <row r="160" spans="1:48" ht="13.5" hidden="1" customHeight="1">
      <c r="A160" s="178"/>
      <c r="B160" s="178"/>
      <c r="D160" s="201" t="s">
        <v>554</v>
      </c>
      <c r="E160" s="180"/>
      <c r="F160" s="202">
        <v>-55914.37</v>
      </c>
      <c r="G160" s="203">
        <v>-55914.37</v>
      </c>
      <c r="H160" s="203">
        <v>-55914.37</v>
      </c>
      <c r="I160" s="203"/>
      <c r="J160" s="203"/>
      <c r="K160" s="216"/>
      <c r="L160" s="203"/>
      <c r="M160" s="203"/>
      <c r="N160" s="203"/>
      <c r="O160" s="203"/>
      <c r="P160" s="203"/>
      <c r="Q160" s="203"/>
      <c r="R160" s="205">
        <v>-167743.10999999999</v>
      </c>
      <c r="S160" s="180"/>
      <c r="T160" s="220">
        <v>-55914.37</v>
      </c>
      <c r="U160" s="221">
        <v>-55914.37</v>
      </c>
      <c r="V160" s="221">
        <v>-55914.37</v>
      </c>
      <c r="W160" s="221">
        <v>-55914.37</v>
      </c>
      <c r="X160" s="221">
        <v>-55914.37</v>
      </c>
      <c r="Y160" s="221">
        <v>-55914.37</v>
      </c>
      <c r="Z160" s="221">
        <v>-55914.37</v>
      </c>
      <c r="AA160" s="221">
        <v>-55914.37</v>
      </c>
      <c r="AB160" s="221">
        <v>-55914.37</v>
      </c>
      <c r="AC160" s="221">
        <v>-55914.37</v>
      </c>
      <c r="AD160" s="221">
        <v>-55914.37</v>
      </c>
      <c r="AE160" s="221">
        <v>-55914.37</v>
      </c>
      <c r="AF160" s="218">
        <v>-167743.10999999999</v>
      </c>
      <c r="AG160" s="180"/>
      <c r="AH160" s="202">
        <v>-55914.37</v>
      </c>
      <c r="AI160" s="203">
        <v>-55914.37</v>
      </c>
      <c r="AJ160" s="203">
        <v>-55914.37</v>
      </c>
      <c r="AK160" s="203">
        <v>-55914.37</v>
      </c>
      <c r="AL160" s="203">
        <v>-55914.37</v>
      </c>
      <c r="AM160" s="216">
        <v>-55914.37</v>
      </c>
      <c r="AN160" s="203">
        <v>-55914.37</v>
      </c>
      <c r="AO160" s="203">
        <v>-55914.37</v>
      </c>
      <c r="AP160" s="203">
        <v>-55914.37</v>
      </c>
      <c r="AQ160" s="203">
        <v>-55914.37</v>
      </c>
      <c r="AR160" s="203">
        <v>-55914.37</v>
      </c>
      <c r="AS160" s="203">
        <v>-55914.37</v>
      </c>
      <c r="AT160" s="205">
        <v>-670972.43999999994</v>
      </c>
      <c r="AU160" s="180"/>
      <c r="AV160" s="180"/>
    </row>
    <row r="161" spans="1:48" ht="13.5" hidden="1" customHeight="1">
      <c r="A161" s="178">
        <v>540140</v>
      </c>
      <c r="B161" s="178">
        <v>51007140</v>
      </c>
      <c r="D161" s="201" t="s">
        <v>555</v>
      </c>
      <c r="E161" s="180" t="s">
        <v>370</v>
      </c>
      <c r="F161" s="202">
        <v>-25394.49</v>
      </c>
      <c r="G161" s="203">
        <v>-25431.97</v>
      </c>
      <c r="H161" s="203">
        <v>-26227.29</v>
      </c>
      <c r="I161" s="203"/>
      <c r="J161" s="203"/>
      <c r="K161" s="216"/>
      <c r="L161" s="203"/>
      <c r="M161" s="203"/>
      <c r="N161" s="203"/>
      <c r="O161" s="203"/>
      <c r="P161" s="203"/>
      <c r="Q161" s="203"/>
      <c r="R161" s="205">
        <v>-77053.75</v>
      </c>
      <c r="S161" s="180"/>
      <c r="T161" s="220">
        <v>-36553.589999999997</v>
      </c>
      <c r="U161" s="221">
        <v>-36553.589999999997</v>
      </c>
      <c r="V161" s="221">
        <v>-36553.589999999997</v>
      </c>
      <c r="W161" s="221">
        <v>-36553.589999999997</v>
      </c>
      <c r="X161" s="221">
        <v>-36553.589999999997</v>
      </c>
      <c r="Y161" s="221">
        <v>-36553.589999999997</v>
      </c>
      <c r="Z161" s="221">
        <v>-36553.589999999997</v>
      </c>
      <c r="AA161" s="221">
        <v>-36553.589999999997</v>
      </c>
      <c r="AB161" s="221">
        <v>-36553.589999999997</v>
      </c>
      <c r="AC161" s="221">
        <v>-36553.589999999997</v>
      </c>
      <c r="AD161" s="221">
        <v>-36553.589999999997</v>
      </c>
      <c r="AE161" s="221">
        <v>-36553.589999999997</v>
      </c>
      <c r="AF161" s="218">
        <v>-109660.77</v>
      </c>
      <c r="AG161" s="180"/>
      <c r="AH161" s="202">
        <v>-40494.720000000001</v>
      </c>
      <c r="AI161" s="203">
        <v>-40504.47</v>
      </c>
      <c r="AJ161" s="203">
        <v>-36432.67</v>
      </c>
      <c r="AK161" s="203">
        <v>-34990.76</v>
      </c>
      <c r="AL161" s="203">
        <v>-33923.919999999998</v>
      </c>
      <c r="AM161" s="216">
        <v>-32881.68</v>
      </c>
      <c r="AN161" s="203">
        <v>-32970.050000000003</v>
      </c>
      <c r="AO161" s="203">
        <v>-32970.050000000003</v>
      </c>
      <c r="AP161" s="203">
        <v>-33053.589999999997</v>
      </c>
      <c r="AQ161" s="203">
        <v>-30276.62</v>
      </c>
      <c r="AR161" s="203">
        <v>-30955.69</v>
      </c>
      <c r="AS161" s="203">
        <v>-27267.87</v>
      </c>
      <c r="AT161" s="205">
        <v>-406722.09</v>
      </c>
      <c r="AU161" s="180"/>
      <c r="AV161" s="180"/>
    </row>
    <row r="162" spans="1:48" ht="13.5" hidden="1" customHeight="1">
      <c r="A162" s="178">
        <v>540145</v>
      </c>
      <c r="B162" s="178"/>
      <c r="D162" s="201" t="s">
        <v>556</v>
      </c>
      <c r="E162" s="180" t="s">
        <v>370</v>
      </c>
      <c r="F162" s="202"/>
      <c r="G162" s="203"/>
      <c r="H162" s="203"/>
      <c r="I162" s="203"/>
      <c r="J162" s="203"/>
      <c r="K162" s="216"/>
      <c r="L162" s="203"/>
      <c r="M162" s="203"/>
      <c r="N162" s="203"/>
      <c r="O162" s="203"/>
      <c r="P162" s="203"/>
      <c r="Q162" s="203"/>
      <c r="R162" s="205">
        <v>0</v>
      </c>
      <c r="S162" s="180"/>
      <c r="T162" s="220">
        <v>0</v>
      </c>
      <c r="U162" s="221">
        <v>0</v>
      </c>
      <c r="V162" s="221">
        <v>0</v>
      </c>
      <c r="W162" s="221">
        <v>0</v>
      </c>
      <c r="X162" s="221">
        <v>0</v>
      </c>
      <c r="Y162" s="221">
        <v>0</v>
      </c>
      <c r="Z162" s="221">
        <v>0</v>
      </c>
      <c r="AA162" s="221">
        <v>0</v>
      </c>
      <c r="AB162" s="221">
        <v>0</v>
      </c>
      <c r="AC162" s="221">
        <v>0</v>
      </c>
      <c r="AD162" s="221">
        <v>0</v>
      </c>
      <c r="AE162" s="221">
        <v>0</v>
      </c>
      <c r="AF162" s="218">
        <v>0</v>
      </c>
      <c r="AG162" s="180"/>
      <c r="AH162" s="202"/>
      <c r="AI162" s="203"/>
      <c r="AJ162" s="203"/>
      <c r="AK162" s="203"/>
      <c r="AL162" s="203"/>
      <c r="AM162" s="216"/>
      <c r="AN162" s="203"/>
      <c r="AO162" s="203"/>
      <c r="AP162" s="203"/>
      <c r="AQ162" s="203"/>
      <c r="AR162" s="203"/>
      <c r="AS162" s="203"/>
      <c r="AT162" s="205">
        <v>0</v>
      </c>
      <c r="AU162" s="180"/>
      <c r="AV162" s="180"/>
    </row>
    <row r="163" spans="1:48" ht="13.5" hidden="1" customHeight="1">
      <c r="A163" s="178">
        <v>540150</v>
      </c>
      <c r="B163" s="178">
        <v>51007150</v>
      </c>
      <c r="D163" s="201" t="s">
        <v>557</v>
      </c>
      <c r="E163" s="180" t="s">
        <v>370</v>
      </c>
      <c r="F163" s="202">
        <v>-20349.21</v>
      </c>
      <c r="G163" s="203">
        <v>-20349.21</v>
      </c>
      <c r="H163" s="203">
        <v>-20349.21</v>
      </c>
      <c r="I163" s="203"/>
      <c r="J163" s="203"/>
      <c r="K163" s="216"/>
      <c r="L163" s="223"/>
      <c r="M163" s="223"/>
      <c r="N163" s="203"/>
      <c r="O163" s="203"/>
      <c r="P163" s="203"/>
      <c r="Q163" s="203"/>
      <c r="R163" s="205">
        <v>-61047.63</v>
      </c>
      <c r="S163" s="180"/>
      <c r="T163" s="220">
        <v>-34425.54</v>
      </c>
      <c r="U163" s="221">
        <v>-34425.54</v>
      </c>
      <c r="V163" s="221">
        <v>-34425.54</v>
      </c>
      <c r="W163" s="221">
        <v>-34425.54</v>
      </c>
      <c r="X163" s="221">
        <v>-34425.54</v>
      </c>
      <c r="Y163" s="221">
        <v>-34425.54</v>
      </c>
      <c r="Z163" s="221">
        <v>-34425.54</v>
      </c>
      <c r="AA163" s="221">
        <v>-34425.54</v>
      </c>
      <c r="AB163" s="221">
        <v>-34425.54</v>
      </c>
      <c r="AC163" s="221">
        <v>-34425.54</v>
      </c>
      <c r="AD163" s="221">
        <v>-34425.54</v>
      </c>
      <c r="AE163" s="221">
        <v>-34425.54</v>
      </c>
      <c r="AF163" s="218">
        <v>-103276.62</v>
      </c>
      <c r="AG163" s="180"/>
      <c r="AH163" s="202">
        <v>-17772.54</v>
      </c>
      <c r="AI163" s="203">
        <v>-17772.509999999998</v>
      </c>
      <c r="AJ163" s="203">
        <v>-17772.509999999998</v>
      </c>
      <c r="AK163" s="203">
        <v>-17772.509999999998</v>
      </c>
      <c r="AL163" s="203">
        <v>-17772.509999999998</v>
      </c>
      <c r="AM163" s="216">
        <v>-13021.11</v>
      </c>
      <c r="AN163" s="226">
        <v>-68570.63</v>
      </c>
      <c r="AO163" s="226">
        <v>-23925.54</v>
      </c>
      <c r="AP163" s="203">
        <v>-23925.54</v>
      </c>
      <c r="AQ163" s="203">
        <v>-23925.54</v>
      </c>
      <c r="AR163" s="203">
        <v>-23925.54</v>
      </c>
      <c r="AS163" s="203">
        <v>-20464.490000000002</v>
      </c>
      <c r="AT163" s="205">
        <v>-286620.96999999997</v>
      </c>
      <c r="AU163" s="180"/>
      <c r="AV163" s="180"/>
    </row>
    <row r="164" spans="1:48" ht="13.5" hidden="1" customHeight="1">
      <c r="A164" s="227"/>
      <c r="B164" s="227"/>
      <c r="D164" s="228" t="s">
        <v>558</v>
      </c>
      <c r="E164" s="229" t="s">
        <v>370</v>
      </c>
      <c r="F164" s="230">
        <v>-2224217.0699999998</v>
      </c>
      <c r="G164" s="231">
        <v>-2294916.92</v>
      </c>
      <c r="H164" s="231">
        <v>-2147441.38</v>
      </c>
      <c r="I164" s="231">
        <v>0</v>
      </c>
      <c r="J164" s="231">
        <v>0</v>
      </c>
      <c r="K164" s="231">
        <v>0</v>
      </c>
      <c r="L164" s="231">
        <v>0</v>
      </c>
      <c r="M164" s="231">
        <v>0</v>
      </c>
      <c r="N164" s="231">
        <v>0</v>
      </c>
      <c r="O164" s="231">
        <v>0</v>
      </c>
      <c r="P164" s="231">
        <v>0</v>
      </c>
      <c r="Q164" s="231">
        <v>0</v>
      </c>
      <c r="R164" s="232">
        <v>-6666575.3700000001</v>
      </c>
      <c r="S164" s="229"/>
      <c r="T164" s="230">
        <v>-2661261.6047857101</v>
      </c>
      <c r="U164" s="231">
        <v>-2655296.4820857099</v>
      </c>
      <c r="V164" s="231">
        <v>-2653775.2220857101</v>
      </c>
      <c r="W164" s="231">
        <v>-2654034.9204984098</v>
      </c>
      <c r="X164" s="231">
        <v>-2656911.9204984098</v>
      </c>
      <c r="Y164" s="231">
        <v>-2653971.9204984098</v>
      </c>
      <c r="Z164" s="231">
        <v>-2628833.9204984098</v>
      </c>
      <c r="AA164" s="231">
        <v>-2629984.6504984102</v>
      </c>
      <c r="AB164" s="231">
        <v>-2633362.5904984102</v>
      </c>
      <c r="AC164" s="231">
        <v>-2630958.2062126999</v>
      </c>
      <c r="AD164" s="231">
        <v>-2631541.7762127002</v>
      </c>
      <c r="AE164" s="231">
        <v>-2631279.4662127001</v>
      </c>
      <c r="AF164" s="232">
        <v>-7970333.30895714</v>
      </c>
      <c r="AG164" s="229"/>
      <c r="AH164" s="230">
        <v>-1839238.2033603101</v>
      </c>
      <c r="AI164" s="231">
        <v>-2062599.08519935</v>
      </c>
      <c r="AJ164" s="231">
        <v>-2304083.0299999998</v>
      </c>
      <c r="AK164" s="231">
        <v>-2201104.7400000002</v>
      </c>
      <c r="AL164" s="231">
        <v>-2110223.3599999999</v>
      </c>
      <c r="AM164" s="231">
        <v>-2075496.02</v>
      </c>
      <c r="AN164" s="231">
        <v>-2401684.85</v>
      </c>
      <c r="AO164" s="231">
        <v>-2641364.69</v>
      </c>
      <c r="AP164" s="231">
        <v>-2661232.44</v>
      </c>
      <c r="AQ164" s="231">
        <v>-2215482.16</v>
      </c>
      <c r="AR164" s="231">
        <v>-2396497.31</v>
      </c>
      <c r="AS164" s="231">
        <v>-2646164.14</v>
      </c>
      <c r="AT164" s="232">
        <v>-27555170.0285597</v>
      </c>
      <c r="AU164" s="229"/>
      <c r="AV164" s="229"/>
    </row>
    <row r="165" spans="1:48" ht="13.5" hidden="1" customHeight="1">
      <c r="A165" s="178">
        <v>520110</v>
      </c>
      <c r="B165" s="178">
        <v>51002110</v>
      </c>
      <c r="D165" s="201" t="s">
        <v>559</v>
      </c>
      <c r="E165" s="180" t="s">
        <v>370</v>
      </c>
      <c r="F165" s="202"/>
      <c r="G165" s="203"/>
      <c r="H165" s="203"/>
      <c r="I165" s="203"/>
      <c r="J165" s="203"/>
      <c r="K165" s="216"/>
      <c r="L165" s="203"/>
      <c r="M165" s="203"/>
      <c r="N165" s="203"/>
      <c r="O165" s="203"/>
      <c r="P165" s="203"/>
      <c r="Q165" s="203"/>
      <c r="R165" s="205">
        <v>0</v>
      </c>
      <c r="S165" s="180"/>
      <c r="T165" s="220">
        <v>0</v>
      </c>
      <c r="U165" s="221">
        <v>0</v>
      </c>
      <c r="V165" s="221">
        <v>0</v>
      </c>
      <c r="W165" s="221">
        <v>0</v>
      </c>
      <c r="X165" s="221">
        <v>0</v>
      </c>
      <c r="Y165" s="221">
        <v>0</v>
      </c>
      <c r="Z165" s="221">
        <v>0</v>
      </c>
      <c r="AA165" s="221">
        <v>0</v>
      </c>
      <c r="AB165" s="221">
        <v>0</v>
      </c>
      <c r="AC165" s="221">
        <v>0</v>
      </c>
      <c r="AD165" s="221">
        <v>0</v>
      </c>
      <c r="AE165" s="221">
        <v>0</v>
      </c>
      <c r="AF165" s="218">
        <v>0</v>
      </c>
      <c r="AG165" s="180"/>
      <c r="AH165" s="202"/>
      <c r="AI165" s="203"/>
      <c r="AJ165" s="203"/>
      <c r="AK165" s="203"/>
      <c r="AL165" s="203">
        <v>-30.02</v>
      </c>
      <c r="AM165" s="216"/>
      <c r="AN165" s="203"/>
      <c r="AO165" s="203"/>
      <c r="AP165" s="203"/>
      <c r="AQ165" s="203"/>
      <c r="AR165" s="203"/>
      <c r="AS165" s="203"/>
      <c r="AT165" s="205">
        <v>-30.02</v>
      </c>
      <c r="AU165" s="180"/>
      <c r="AV165" s="180"/>
    </row>
    <row r="166" spans="1:48" ht="13.5" hidden="1" customHeight="1">
      <c r="A166" s="178">
        <v>520120</v>
      </c>
      <c r="B166" s="178">
        <v>51002120</v>
      </c>
      <c r="D166" s="201" t="s">
        <v>560</v>
      </c>
      <c r="E166" s="180" t="s">
        <v>370</v>
      </c>
      <c r="F166" s="202"/>
      <c r="G166" s="203"/>
      <c r="H166" s="203"/>
      <c r="I166" s="203"/>
      <c r="J166" s="203"/>
      <c r="K166" s="216"/>
      <c r="L166" s="203"/>
      <c r="M166" s="203"/>
      <c r="N166" s="203"/>
      <c r="O166" s="203"/>
      <c r="P166" s="203"/>
      <c r="Q166" s="203"/>
      <c r="R166" s="205">
        <v>0</v>
      </c>
      <c r="S166" s="180"/>
      <c r="T166" s="220">
        <v>0</v>
      </c>
      <c r="U166" s="221">
        <v>0</v>
      </c>
      <c r="V166" s="221">
        <v>0</v>
      </c>
      <c r="W166" s="221">
        <v>0</v>
      </c>
      <c r="X166" s="221">
        <v>0</v>
      </c>
      <c r="Y166" s="221">
        <v>0</v>
      </c>
      <c r="Z166" s="221">
        <v>0</v>
      </c>
      <c r="AA166" s="221">
        <v>0</v>
      </c>
      <c r="AB166" s="221">
        <v>0</v>
      </c>
      <c r="AC166" s="221">
        <v>0</v>
      </c>
      <c r="AD166" s="221">
        <v>0</v>
      </c>
      <c r="AE166" s="221">
        <v>0</v>
      </c>
      <c r="AF166" s="218">
        <v>0</v>
      </c>
      <c r="AG166" s="180"/>
      <c r="AH166" s="202">
        <v>-23.98</v>
      </c>
      <c r="AI166" s="203"/>
      <c r="AJ166" s="203"/>
      <c r="AK166" s="203"/>
      <c r="AL166" s="203"/>
      <c r="AM166" s="216"/>
      <c r="AN166" s="203"/>
      <c r="AO166" s="203"/>
      <c r="AP166" s="203"/>
      <c r="AQ166" s="203"/>
      <c r="AR166" s="203"/>
      <c r="AS166" s="203"/>
      <c r="AT166" s="205">
        <v>-23.98</v>
      </c>
      <c r="AU166" s="180"/>
      <c r="AV166" s="180"/>
    </row>
    <row r="167" spans="1:48" ht="13.5" hidden="1" customHeight="1">
      <c r="A167" s="178">
        <v>520130</v>
      </c>
      <c r="B167" s="178">
        <v>51002140</v>
      </c>
      <c r="D167" s="201" t="s">
        <v>561</v>
      </c>
      <c r="E167" s="180" t="s">
        <v>370</v>
      </c>
      <c r="F167" s="202"/>
      <c r="G167" s="203"/>
      <c r="H167" s="203"/>
      <c r="I167" s="203"/>
      <c r="J167" s="203"/>
      <c r="K167" s="216"/>
      <c r="L167" s="203"/>
      <c r="M167" s="203"/>
      <c r="N167" s="203"/>
      <c r="O167" s="203"/>
      <c r="P167" s="203"/>
      <c r="Q167" s="203"/>
      <c r="R167" s="205">
        <v>0</v>
      </c>
      <c r="S167" s="180"/>
      <c r="T167" s="220">
        <v>0</v>
      </c>
      <c r="U167" s="221">
        <v>0</v>
      </c>
      <c r="V167" s="221">
        <v>0</v>
      </c>
      <c r="W167" s="221">
        <v>0</v>
      </c>
      <c r="X167" s="221">
        <v>0</v>
      </c>
      <c r="Y167" s="221">
        <v>0</v>
      </c>
      <c r="Z167" s="221">
        <v>0</v>
      </c>
      <c r="AA167" s="221">
        <v>0</v>
      </c>
      <c r="AB167" s="221">
        <v>0</v>
      </c>
      <c r="AC167" s="221">
        <v>0</v>
      </c>
      <c r="AD167" s="221">
        <v>0</v>
      </c>
      <c r="AE167" s="221">
        <v>0</v>
      </c>
      <c r="AF167" s="218">
        <v>0</v>
      </c>
      <c r="AG167" s="180"/>
      <c r="AH167" s="202"/>
      <c r="AI167" s="203"/>
      <c r="AJ167" s="203"/>
      <c r="AK167" s="203"/>
      <c r="AL167" s="203"/>
      <c r="AM167" s="216"/>
      <c r="AN167" s="203"/>
      <c r="AO167" s="203"/>
      <c r="AP167" s="203"/>
      <c r="AQ167" s="203"/>
      <c r="AR167" s="203"/>
      <c r="AS167" s="203"/>
      <c r="AT167" s="205">
        <v>0</v>
      </c>
      <c r="AU167" s="180"/>
      <c r="AV167" s="180"/>
    </row>
    <row r="168" spans="1:48" ht="13.5" hidden="1" customHeight="1">
      <c r="A168" s="178">
        <v>520140</v>
      </c>
      <c r="B168" s="178">
        <v>51002150</v>
      </c>
      <c r="D168" s="201" t="s">
        <v>562</v>
      </c>
      <c r="E168" s="180" t="s">
        <v>370</v>
      </c>
      <c r="F168" s="202"/>
      <c r="G168" s="203"/>
      <c r="H168" s="203"/>
      <c r="I168" s="203"/>
      <c r="J168" s="203"/>
      <c r="K168" s="216"/>
      <c r="L168" s="203"/>
      <c r="M168" s="203"/>
      <c r="N168" s="203"/>
      <c r="O168" s="203"/>
      <c r="P168" s="203"/>
      <c r="Q168" s="203"/>
      <c r="R168" s="205">
        <v>0</v>
      </c>
      <c r="S168" s="180"/>
      <c r="T168" s="220">
        <v>0</v>
      </c>
      <c r="U168" s="221">
        <v>0</v>
      </c>
      <c r="V168" s="221">
        <v>0</v>
      </c>
      <c r="W168" s="221">
        <v>0</v>
      </c>
      <c r="X168" s="221">
        <v>0</v>
      </c>
      <c r="Y168" s="221">
        <v>0</v>
      </c>
      <c r="Z168" s="221">
        <v>0</v>
      </c>
      <c r="AA168" s="221">
        <v>0</v>
      </c>
      <c r="AB168" s="221">
        <v>0</v>
      </c>
      <c r="AC168" s="221">
        <v>0</v>
      </c>
      <c r="AD168" s="221">
        <v>0</v>
      </c>
      <c r="AE168" s="221">
        <v>0</v>
      </c>
      <c r="AF168" s="218">
        <v>0</v>
      </c>
      <c r="AG168" s="180"/>
      <c r="AH168" s="202"/>
      <c r="AI168" s="203"/>
      <c r="AJ168" s="203"/>
      <c r="AK168" s="203">
        <v>-271.89999999999998</v>
      </c>
      <c r="AL168" s="203"/>
      <c r="AM168" s="216"/>
      <c r="AN168" s="203"/>
      <c r="AO168" s="203"/>
      <c r="AP168" s="203"/>
      <c r="AQ168" s="203"/>
      <c r="AR168" s="203"/>
      <c r="AS168" s="203"/>
      <c r="AT168" s="205">
        <v>-271.89999999999998</v>
      </c>
      <c r="AU168" s="180"/>
      <c r="AV168" s="180"/>
    </row>
    <row r="169" spans="1:48" ht="13.5" hidden="1" customHeight="1">
      <c r="A169" s="178"/>
      <c r="B169" s="178"/>
      <c r="D169" s="201" t="s">
        <v>563</v>
      </c>
      <c r="E169" s="180"/>
      <c r="F169" s="202"/>
      <c r="G169" s="203"/>
      <c r="H169" s="203"/>
      <c r="I169" s="203"/>
      <c r="J169" s="203"/>
      <c r="K169" s="216"/>
      <c r="L169" s="203"/>
      <c r="M169" s="203"/>
      <c r="N169" s="203"/>
      <c r="O169" s="203"/>
      <c r="P169" s="203"/>
      <c r="Q169" s="203"/>
      <c r="R169" s="205">
        <v>0</v>
      </c>
      <c r="S169" s="180"/>
      <c r="T169" s="220"/>
      <c r="U169" s="221"/>
      <c r="V169" s="221"/>
      <c r="W169" s="221"/>
      <c r="X169" s="221"/>
      <c r="Y169" s="221"/>
      <c r="Z169" s="221"/>
      <c r="AA169" s="221"/>
      <c r="AB169" s="221"/>
      <c r="AC169" s="221"/>
      <c r="AD169" s="221"/>
      <c r="AE169" s="221"/>
      <c r="AF169" s="218"/>
      <c r="AG169" s="180"/>
      <c r="AH169" s="202"/>
      <c r="AI169" s="203"/>
      <c r="AJ169" s="203"/>
      <c r="AK169" s="203"/>
      <c r="AL169" s="203"/>
      <c r="AM169" s="216"/>
      <c r="AN169" s="203"/>
      <c r="AO169" s="203"/>
      <c r="AP169" s="203"/>
      <c r="AQ169" s="203"/>
      <c r="AR169" s="203"/>
      <c r="AS169" s="203"/>
      <c r="AT169" s="205">
        <v>0</v>
      </c>
      <c r="AU169" s="180"/>
      <c r="AV169" s="180"/>
    </row>
    <row r="170" spans="1:48" ht="13.5" hidden="1" customHeight="1">
      <c r="A170" s="178">
        <v>520150</v>
      </c>
      <c r="B170" s="178">
        <v>51002160</v>
      </c>
      <c r="D170" s="201" t="s">
        <v>564</v>
      </c>
      <c r="E170" s="180" t="s">
        <v>370</v>
      </c>
      <c r="F170" s="202"/>
      <c r="G170" s="203"/>
      <c r="H170" s="203"/>
      <c r="I170" s="203"/>
      <c r="J170" s="203"/>
      <c r="K170" s="216"/>
      <c r="L170" s="203"/>
      <c r="M170" s="203"/>
      <c r="N170" s="203"/>
      <c r="O170" s="203"/>
      <c r="P170" s="203"/>
      <c r="Q170" s="203"/>
      <c r="R170" s="205">
        <v>0</v>
      </c>
      <c r="S170" s="180"/>
      <c r="T170" s="220">
        <v>0</v>
      </c>
      <c r="U170" s="221">
        <v>0</v>
      </c>
      <c r="V170" s="221">
        <v>0</v>
      </c>
      <c r="W170" s="221">
        <v>0</v>
      </c>
      <c r="X170" s="221">
        <v>0</v>
      </c>
      <c r="Y170" s="221">
        <v>0</v>
      </c>
      <c r="Z170" s="221">
        <v>0</v>
      </c>
      <c r="AA170" s="221">
        <v>0</v>
      </c>
      <c r="AB170" s="221">
        <v>0</v>
      </c>
      <c r="AC170" s="221">
        <v>0</v>
      </c>
      <c r="AD170" s="221">
        <v>0</v>
      </c>
      <c r="AE170" s="221">
        <v>0</v>
      </c>
      <c r="AF170" s="218">
        <v>0</v>
      </c>
      <c r="AG170" s="180"/>
      <c r="AH170" s="202"/>
      <c r="AI170" s="203"/>
      <c r="AJ170" s="203"/>
      <c r="AK170" s="203"/>
      <c r="AL170" s="203"/>
      <c r="AM170" s="216"/>
      <c r="AN170" s="203">
        <v>-44</v>
      </c>
      <c r="AO170" s="203"/>
      <c r="AP170" s="203"/>
      <c r="AQ170" s="203"/>
      <c r="AR170" s="203"/>
      <c r="AS170" s="203"/>
      <c r="AT170" s="205">
        <v>-44</v>
      </c>
      <c r="AU170" s="180"/>
      <c r="AV170" s="180"/>
    </row>
    <row r="171" spans="1:48" ht="13.5" hidden="1" customHeight="1">
      <c r="A171" s="178">
        <v>520160</v>
      </c>
      <c r="B171" s="178">
        <v>51002170</v>
      </c>
      <c r="D171" s="201" t="s">
        <v>565</v>
      </c>
      <c r="E171" s="180" t="s">
        <v>370</v>
      </c>
      <c r="F171" s="202"/>
      <c r="G171" s="203"/>
      <c r="H171" s="203"/>
      <c r="I171" s="203"/>
      <c r="J171" s="203"/>
      <c r="K171" s="216"/>
      <c r="L171" s="203"/>
      <c r="M171" s="203"/>
      <c r="N171" s="203"/>
      <c r="O171" s="203"/>
      <c r="P171" s="203"/>
      <c r="Q171" s="203"/>
      <c r="R171" s="205">
        <v>0</v>
      </c>
      <c r="S171" s="180"/>
      <c r="T171" s="220">
        <v>0</v>
      </c>
      <c r="U171" s="221">
        <v>0</v>
      </c>
      <c r="V171" s="221">
        <v>0</v>
      </c>
      <c r="W171" s="221">
        <v>0</v>
      </c>
      <c r="X171" s="221">
        <v>0</v>
      </c>
      <c r="Y171" s="221">
        <v>0</v>
      </c>
      <c r="Z171" s="221">
        <v>0</v>
      </c>
      <c r="AA171" s="221">
        <v>0</v>
      </c>
      <c r="AB171" s="221">
        <v>0</v>
      </c>
      <c r="AC171" s="221">
        <v>0</v>
      </c>
      <c r="AD171" s="221">
        <v>0</v>
      </c>
      <c r="AE171" s="221">
        <v>0</v>
      </c>
      <c r="AF171" s="218">
        <v>0</v>
      </c>
      <c r="AG171" s="180"/>
      <c r="AH171" s="202"/>
      <c r="AI171" s="203"/>
      <c r="AJ171" s="203"/>
      <c r="AK171" s="203"/>
      <c r="AL171" s="203"/>
      <c r="AM171" s="216"/>
      <c r="AN171" s="203"/>
      <c r="AO171" s="203"/>
      <c r="AP171" s="203"/>
      <c r="AQ171" s="203"/>
      <c r="AR171" s="203"/>
      <c r="AS171" s="203"/>
      <c r="AT171" s="205">
        <v>0</v>
      </c>
      <c r="AU171" s="180"/>
      <c r="AV171" s="180"/>
    </row>
    <row r="172" spans="1:48" ht="13.5" hidden="1" customHeight="1">
      <c r="A172" s="178">
        <v>520170</v>
      </c>
      <c r="B172" s="178">
        <v>51002180</v>
      </c>
      <c r="D172" s="201" t="s">
        <v>566</v>
      </c>
      <c r="E172" s="180" t="s">
        <v>370</v>
      </c>
      <c r="F172" s="202"/>
      <c r="G172" s="203"/>
      <c r="H172" s="203"/>
      <c r="I172" s="203"/>
      <c r="J172" s="203"/>
      <c r="K172" s="216"/>
      <c r="L172" s="203"/>
      <c r="M172" s="203"/>
      <c r="N172" s="203"/>
      <c r="O172" s="203"/>
      <c r="P172" s="203"/>
      <c r="Q172" s="203"/>
      <c r="R172" s="205">
        <v>0</v>
      </c>
      <c r="S172" s="180"/>
      <c r="T172" s="220">
        <v>0</v>
      </c>
      <c r="U172" s="221">
        <v>0</v>
      </c>
      <c r="V172" s="221">
        <v>0</v>
      </c>
      <c r="W172" s="221">
        <v>0</v>
      </c>
      <c r="X172" s="221">
        <v>0</v>
      </c>
      <c r="Y172" s="221">
        <v>0</v>
      </c>
      <c r="Z172" s="221">
        <v>0</v>
      </c>
      <c r="AA172" s="221">
        <v>0</v>
      </c>
      <c r="AB172" s="221">
        <v>0</v>
      </c>
      <c r="AC172" s="221">
        <v>0</v>
      </c>
      <c r="AD172" s="221">
        <v>0</v>
      </c>
      <c r="AE172" s="221">
        <v>0</v>
      </c>
      <c r="AF172" s="218">
        <v>0</v>
      </c>
      <c r="AG172" s="180"/>
      <c r="AH172" s="202"/>
      <c r="AI172" s="203"/>
      <c r="AJ172" s="203"/>
      <c r="AK172" s="203"/>
      <c r="AL172" s="203"/>
      <c r="AM172" s="216"/>
      <c r="AN172" s="203"/>
      <c r="AO172" s="203"/>
      <c r="AP172" s="203"/>
      <c r="AQ172" s="203"/>
      <c r="AR172" s="203"/>
      <c r="AS172" s="203"/>
      <c r="AT172" s="205">
        <v>0</v>
      </c>
      <c r="AU172" s="180"/>
      <c r="AV172" s="180"/>
    </row>
    <row r="173" spans="1:48" ht="13.5" hidden="1" customHeight="1">
      <c r="A173" s="178">
        <v>520180</v>
      </c>
      <c r="B173" s="178">
        <v>51002200</v>
      </c>
      <c r="D173" s="201" t="s">
        <v>567</v>
      </c>
      <c r="E173" s="180" t="s">
        <v>370</v>
      </c>
      <c r="F173" s="202"/>
      <c r="G173" s="203"/>
      <c r="H173" s="203"/>
      <c r="I173" s="203"/>
      <c r="J173" s="203"/>
      <c r="K173" s="216"/>
      <c r="L173" s="203"/>
      <c r="M173" s="203"/>
      <c r="N173" s="203"/>
      <c r="O173" s="203"/>
      <c r="P173" s="203"/>
      <c r="Q173" s="203"/>
      <c r="R173" s="205">
        <v>0</v>
      </c>
      <c r="S173" s="180"/>
      <c r="T173" s="220">
        <v>0</v>
      </c>
      <c r="U173" s="221">
        <v>0</v>
      </c>
      <c r="V173" s="221">
        <v>0</v>
      </c>
      <c r="W173" s="221">
        <v>0</v>
      </c>
      <c r="X173" s="221">
        <v>0</v>
      </c>
      <c r="Y173" s="221">
        <v>0</v>
      </c>
      <c r="Z173" s="221">
        <v>0</v>
      </c>
      <c r="AA173" s="221">
        <v>0</v>
      </c>
      <c r="AB173" s="221">
        <v>0</v>
      </c>
      <c r="AC173" s="221">
        <v>0</v>
      </c>
      <c r="AD173" s="221">
        <v>0</v>
      </c>
      <c r="AE173" s="221">
        <v>0</v>
      </c>
      <c r="AF173" s="218">
        <v>0</v>
      </c>
      <c r="AG173" s="180"/>
      <c r="AH173" s="202"/>
      <c r="AI173" s="203"/>
      <c r="AJ173" s="203"/>
      <c r="AK173" s="203"/>
      <c r="AL173" s="203"/>
      <c r="AM173" s="216"/>
      <c r="AN173" s="203"/>
      <c r="AO173" s="203"/>
      <c r="AP173" s="203"/>
      <c r="AQ173" s="203"/>
      <c r="AR173" s="203"/>
      <c r="AS173" s="203"/>
      <c r="AT173" s="205">
        <v>0</v>
      </c>
      <c r="AU173" s="180"/>
      <c r="AV173" s="180"/>
    </row>
    <row r="174" spans="1:48" ht="13.5" hidden="1" customHeight="1">
      <c r="A174" s="178"/>
      <c r="B174" s="178">
        <v>51002220</v>
      </c>
      <c r="D174" s="201" t="s">
        <v>568</v>
      </c>
      <c r="E174" s="180" t="s">
        <v>370</v>
      </c>
      <c r="F174" s="202"/>
      <c r="G174" s="203"/>
      <c r="H174" s="203"/>
      <c r="I174" s="203"/>
      <c r="J174" s="203"/>
      <c r="K174" s="216"/>
      <c r="L174" s="203"/>
      <c r="M174" s="203"/>
      <c r="N174" s="203"/>
      <c r="O174" s="203"/>
      <c r="P174" s="203"/>
      <c r="Q174" s="203"/>
      <c r="R174" s="205">
        <v>0</v>
      </c>
      <c r="S174" s="180"/>
      <c r="T174" s="220">
        <v>0</v>
      </c>
      <c r="U174" s="221">
        <v>0</v>
      </c>
      <c r="V174" s="221">
        <v>0</v>
      </c>
      <c r="W174" s="221">
        <v>0</v>
      </c>
      <c r="X174" s="221">
        <v>0</v>
      </c>
      <c r="Y174" s="221">
        <v>0</v>
      </c>
      <c r="Z174" s="221">
        <v>0</v>
      </c>
      <c r="AA174" s="221">
        <v>0</v>
      </c>
      <c r="AB174" s="221">
        <v>0</v>
      </c>
      <c r="AC174" s="221">
        <v>0</v>
      </c>
      <c r="AD174" s="221">
        <v>0</v>
      </c>
      <c r="AE174" s="221">
        <v>0</v>
      </c>
      <c r="AF174" s="218">
        <v>0</v>
      </c>
      <c r="AG174" s="180"/>
      <c r="AH174" s="202"/>
      <c r="AI174" s="203"/>
      <c r="AJ174" s="203"/>
      <c r="AK174" s="203"/>
      <c r="AL174" s="203"/>
      <c r="AM174" s="216"/>
      <c r="AN174" s="203"/>
      <c r="AO174" s="203"/>
      <c r="AP174" s="203"/>
      <c r="AQ174" s="203"/>
      <c r="AR174" s="203"/>
      <c r="AS174" s="203"/>
      <c r="AT174" s="205">
        <v>0</v>
      </c>
      <c r="AU174" s="180"/>
      <c r="AV174" s="180"/>
    </row>
    <row r="175" spans="1:48" ht="13.5" hidden="1" customHeight="1">
      <c r="A175" s="178">
        <v>520190</v>
      </c>
      <c r="B175" s="178">
        <v>51002230</v>
      </c>
      <c r="D175" s="201" t="s">
        <v>569</v>
      </c>
      <c r="E175" s="180" t="s">
        <v>370</v>
      </c>
      <c r="F175" s="202"/>
      <c r="G175" s="203"/>
      <c r="H175" s="203"/>
      <c r="I175" s="203"/>
      <c r="J175" s="203"/>
      <c r="K175" s="216"/>
      <c r="L175" s="203"/>
      <c r="M175" s="203"/>
      <c r="N175" s="203"/>
      <c r="O175" s="203"/>
      <c r="P175" s="203"/>
      <c r="Q175" s="203"/>
      <c r="R175" s="205">
        <v>0</v>
      </c>
      <c r="S175" s="180"/>
      <c r="T175" s="220">
        <v>0</v>
      </c>
      <c r="U175" s="221">
        <v>0</v>
      </c>
      <c r="V175" s="221">
        <v>0</v>
      </c>
      <c r="W175" s="221">
        <v>0</v>
      </c>
      <c r="X175" s="221">
        <v>0</v>
      </c>
      <c r="Y175" s="221">
        <v>0</v>
      </c>
      <c r="Z175" s="221">
        <v>0</v>
      </c>
      <c r="AA175" s="221">
        <v>0</v>
      </c>
      <c r="AB175" s="221">
        <v>0</v>
      </c>
      <c r="AC175" s="221">
        <v>0</v>
      </c>
      <c r="AD175" s="221">
        <v>0</v>
      </c>
      <c r="AE175" s="221">
        <v>0</v>
      </c>
      <c r="AF175" s="218">
        <v>0</v>
      </c>
      <c r="AG175" s="180"/>
      <c r="AH175" s="202"/>
      <c r="AI175" s="203"/>
      <c r="AJ175" s="203"/>
      <c r="AK175" s="203"/>
      <c r="AL175" s="203"/>
      <c r="AM175" s="216"/>
      <c r="AN175" s="203"/>
      <c r="AO175" s="203"/>
      <c r="AP175" s="203"/>
      <c r="AQ175" s="203"/>
      <c r="AR175" s="203"/>
      <c r="AS175" s="203"/>
      <c r="AT175" s="205">
        <v>0</v>
      </c>
      <c r="AU175" s="180"/>
      <c r="AV175" s="180"/>
    </row>
    <row r="176" spans="1:48" ht="13.5" hidden="1" customHeight="1">
      <c r="A176" s="178">
        <v>520200</v>
      </c>
      <c r="B176" s="178">
        <v>51002240</v>
      </c>
      <c r="D176" s="201" t="s">
        <v>570</v>
      </c>
      <c r="E176" s="180" t="s">
        <v>370</v>
      </c>
      <c r="F176" s="202"/>
      <c r="G176" s="203"/>
      <c r="H176" s="203"/>
      <c r="I176" s="203"/>
      <c r="J176" s="203"/>
      <c r="K176" s="216"/>
      <c r="L176" s="203"/>
      <c r="M176" s="203"/>
      <c r="N176" s="203"/>
      <c r="O176" s="203"/>
      <c r="P176" s="203"/>
      <c r="Q176" s="203"/>
      <c r="R176" s="205">
        <v>0</v>
      </c>
      <c r="S176" s="180"/>
      <c r="T176" s="220">
        <v>0</v>
      </c>
      <c r="U176" s="221">
        <v>0</v>
      </c>
      <c r="V176" s="221">
        <v>0</v>
      </c>
      <c r="W176" s="221">
        <v>0</v>
      </c>
      <c r="X176" s="221">
        <v>0</v>
      </c>
      <c r="Y176" s="221">
        <v>0</v>
      </c>
      <c r="Z176" s="221">
        <v>0</v>
      </c>
      <c r="AA176" s="221">
        <v>0</v>
      </c>
      <c r="AB176" s="221">
        <v>0</v>
      </c>
      <c r="AC176" s="221">
        <v>0</v>
      </c>
      <c r="AD176" s="221">
        <v>0</v>
      </c>
      <c r="AE176" s="221">
        <v>0</v>
      </c>
      <c r="AF176" s="218">
        <v>0</v>
      </c>
      <c r="AG176" s="180"/>
      <c r="AH176" s="202"/>
      <c r="AI176" s="203"/>
      <c r="AJ176" s="203"/>
      <c r="AK176" s="203"/>
      <c r="AL176" s="203"/>
      <c r="AM176" s="216"/>
      <c r="AN176" s="203"/>
      <c r="AO176" s="203"/>
      <c r="AP176" s="203"/>
      <c r="AQ176" s="203"/>
      <c r="AR176" s="203"/>
      <c r="AS176" s="203"/>
      <c r="AT176" s="205">
        <v>0</v>
      </c>
      <c r="AU176" s="180"/>
      <c r="AV176" s="180"/>
    </row>
    <row r="177" spans="1:48" ht="13.5" hidden="1" customHeight="1">
      <c r="A177" s="178">
        <v>520210</v>
      </c>
      <c r="B177" s="178"/>
      <c r="D177" s="201" t="s">
        <v>571</v>
      </c>
      <c r="E177" s="180" t="s">
        <v>370</v>
      </c>
      <c r="F177" s="202"/>
      <c r="G177" s="203"/>
      <c r="H177" s="203"/>
      <c r="I177" s="203"/>
      <c r="J177" s="203"/>
      <c r="K177" s="216"/>
      <c r="L177" s="203"/>
      <c r="M177" s="203"/>
      <c r="N177" s="203"/>
      <c r="O177" s="203"/>
      <c r="P177" s="203"/>
      <c r="Q177" s="203"/>
      <c r="R177" s="205">
        <v>0</v>
      </c>
      <c r="S177" s="180"/>
      <c r="T177" s="220">
        <v>0</v>
      </c>
      <c r="U177" s="221">
        <v>0</v>
      </c>
      <c r="V177" s="221">
        <v>0</v>
      </c>
      <c r="W177" s="221">
        <v>0</v>
      </c>
      <c r="X177" s="221">
        <v>0</v>
      </c>
      <c r="Y177" s="221">
        <v>0</v>
      </c>
      <c r="Z177" s="221">
        <v>0</v>
      </c>
      <c r="AA177" s="221">
        <v>0</v>
      </c>
      <c r="AB177" s="221">
        <v>0</v>
      </c>
      <c r="AC177" s="221">
        <v>0</v>
      </c>
      <c r="AD177" s="221">
        <v>0</v>
      </c>
      <c r="AE177" s="221">
        <v>0</v>
      </c>
      <c r="AF177" s="218">
        <v>0</v>
      </c>
      <c r="AG177" s="180"/>
      <c r="AH177" s="202"/>
      <c r="AI177" s="203"/>
      <c r="AJ177" s="203"/>
      <c r="AK177" s="203"/>
      <c r="AL177" s="203"/>
      <c r="AM177" s="216"/>
      <c r="AN177" s="203"/>
      <c r="AO177" s="203"/>
      <c r="AP177" s="203"/>
      <c r="AQ177" s="203"/>
      <c r="AR177" s="203"/>
      <c r="AS177" s="203"/>
      <c r="AT177" s="205">
        <v>0</v>
      </c>
      <c r="AU177" s="180"/>
      <c r="AV177" s="180"/>
    </row>
    <row r="178" spans="1:48" ht="13.5" hidden="1" customHeight="1">
      <c r="A178" s="178">
        <v>520220</v>
      </c>
      <c r="B178" s="178">
        <v>51002250</v>
      </c>
      <c r="D178" s="201" t="s">
        <v>572</v>
      </c>
      <c r="E178" s="180" t="s">
        <v>370</v>
      </c>
      <c r="F178" s="202"/>
      <c r="G178" s="203"/>
      <c r="H178" s="203"/>
      <c r="I178" s="203"/>
      <c r="J178" s="203"/>
      <c r="K178" s="216"/>
      <c r="L178" s="203"/>
      <c r="M178" s="203"/>
      <c r="O178" s="203"/>
      <c r="P178" s="203"/>
      <c r="Q178" s="203"/>
      <c r="R178" s="205">
        <v>0</v>
      </c>
      <c r="S178" s="180"/>
      <c r="T178" s="220">
        <v>0</v>
      </c>
      <c r="U178" s="221">
        <v>0</v>
      </c>
      <c r="V178" s="221">
        <v>0</v>
      </c>
      <c r="W178" s="221">
        <v>0</v>
      </c>
      <c r="X178" s="221">
        <v>0</v>
      </c>
      <c r="Y178" s="221">
        <v>0</v>
      </c>
      <c r="Z178" s="221">
        <v>0</v>
      </c>
      <c r="AA178" s="221">
        <v>0</v>
      </c>
      <c r="AB178" s="221">
        <v>0</v>
      </c>
      <c r="AC178" s="221">
        <v>0</v>
      </c>
      <c r="AD178" s="221">
        <v>0</v>
      </c>
      <c r="AE178" s="221">
        <v>0</v>
      </c>
      <c r="AF178" s="218">
        <v>0</v>
      </c>
      <c r="AG178" s="180"/>
      <c r="AH178" s="202"/>
      <c r="AI178" s="203"/>
      <c r="AJ178" s="203"/>
      <c r="AK178" s="203"/>
      <c r="AL178" s="203"/>
      <c r="AM178" s="216"/>
      <c r="AN178" s="203"/>
      <c r="AO178" s="203"/>
      <c r="AQ178" s="203"/>
      <c r="AR178" s="203"/>
      <c r="AS178" s="203"/>
      <c r="AT178" s="205">
        <v>0</v>
      </c>
      <c r="AU178" s="180"/>
      <c r="AV178" s="180"/>
    </row>
    <row r="179" spans="1:48" ht="13.5" hidden="1" customHeight="1">
      <c r="A179" s="178">
        <v>520250</v>
      </c>
      <c r="B179" s="178">
        <v>51002260</v>
      </c>
      <c r="D179" s="201" t="s">
        <v>573</v>
      </c>
      <c r="E179" s="180" t="s">
        <v>370</v>
      </c>
      <c r="F179" s="202">
        <v>-1341.95</v>
      </c>
      <c r="G179" s="203">
        <v>-1431.76</v>
      </c>
      <c r="H179" s="203">
        <v>-1409.5</v>
      </c>
      <c r="I179" s="203"/>
      <c r="J179" s="203"/>
      <c r="K179" s="216"/>
      <c r="L179" s="203"/>
      <c r="M179" s="203"/>
      <c r="N179" s="203"/>
      <c r="O179" s="203"/>
      <c r="P179" s="203"/>
      <c r="Q179" s="203"/>
      <c r="R179" s="205">
        <v>-4183.21</v>
      </c>
      <c r="S179" s="180"/>
      <c r="T179" s="220">
        <v>-1200</v>
      </c>
      <c r="U179" s="221">
        <v>-1200</v>
      </c>
      <c r="V179" s="221">
        <v>-1200</v>
      </c>
      <c r="W179" s="221">
        <v>-1200</v>
      </c>
      <c r="X179" s="221">
        <v>-1200</v>
      </c>
      <c r="Y179" s="221">
        <v>-1200</v>
      </c>
      <c r="Z179" s="221">
        <v>-1200</v>
      </c>
      <c r="AA179" s="221">
        <v>-1200</v>
      </c>
      <c r="AB179" s="221">
        <v>-1200</v>
      </c>
      <c r="AC179" s="221">
        <v>-1200</v>
      </c>
      <c r="AD179" s="221">
        <v>-1200</v>
      </c>
      <c r="AE179" s="221">
        <v>-1200</v>
      </c>
      <c r="AF179" s="218">
        <v>-3600</v>
      </c>
      <c r="AG179" s="180"/>
      <c r="AH179" s="202">
        <v>-1661.72</v>
      </c>
      <c r="AI179" s="203">
        <v>-1667.45</v>
      </c>
      <c r="AJ179" s="203">
        <v>-1655.95</v>
      </c>
      <c r="AK179" s="203">
        <v>-1711.15</v>
      </c>
      <c r="AL179" s="203"/>
      <c r="AM179" s="216"/>
      <c r="AN179" s="203"/>
      <c r="AO179" s="203">
        <v>-3696.66</v>
      </c>
      <c r="AP179" s="203">
        <v>-4620</v>
      </c>
      <c r="AQ179" s="203">
        <v>-1449.71</v>
      </c>
      <c r="AR179" s="203">
        <v>-1405</v>
      </c>
      <c r="AS179" s="203">
        <v>-1493.4</v>
      </c>
      <c r="AT179" s="205">
        <v>-19361.04</v>
      </c>
      <c r="AU179" s="180"/>
      <c r="AV179" s="180"/>
    </row>
    <row r="180" spans="1:48" ht="13.5" hidden="1" customHeight="1">
      <c r="A180" s="178">
        <v>520250</v>
      </c>
      <c r="B180" s="178">
        <v>51002270</v>
      </c>
      <c r="D180" s="201" t="s">
        <v>574</v>
      </c>
      <c r="E180" s="180" t="s">
        <v>370</v>
      </c>
      <c r="F180" s="202"/>
      <c r="G180" s="203"/>
      <c r="H180" s="203"/>
      <c r="I180" s="203"/>
      <c r="J180" s="203"/>
      <c r="K180" s="216"/>
      <c r="L180" s="203"/>
      <c r="M180" s="203"/>
      <c r="N180" s="203"/>
      <c r="O180" s="203"/>
      <c r="P180" s="203"/>
      <c r="Q180" s="203"/>
      <c r="R180" s="205">
        <v>0</v>
      </c>
      <c r="S180" s="180"/>
      <c r="T180" s="220">
        <v>0</v>
      </c>
      <c r="U180" s="221">
        <v>0</v>
      </c>
      <c r="V180" s="221">
        <v>0</v>
      </c>
      <c r="W180" s="221">
        <v>0</v>
      </c>
      <c r="X180" s="221">
        <v>0</v>
      </c>
      <c r="Y180" s="221">
        <v>0</v>
      </c>
      <c r="Z180" s="221">
        <v>0</v>
      </c>
      <c r="AA180" s="221">
        <v>0</v>
      </c>
      <c r="AB180" s="221">
        <v>0</v>
      </c>
      <c r="AC180" s="221">
        <v>0</v>
      </c>
      <c r="AD180" s="221">
        <v>0</v>
      </c>
      <c r="AE180" s="221">
        <v>0</v>
      </c>
      <c r="AF180" s="218">
        <v>0</v>
      </c>
      <c r="AG180" s="180"/>
      <c r="AH180" s="202"/>
      <c r="AI180" s="203"/>
      <c r="AJ180" s="203"/>
      <c r="AK180" s="203"/>
      <c r="AL180" s="203"/>
      <c r="AM180" s="216"/>
      <c r="AN180" s="203"/>
      <c r="AO180" s="203"/>
      <c r="AP180" s="203"/>
      <c r="AQ180" s="203"/>
      <c r="AR180" s="203"/>
      <c r="AS180" s="203"/>
      <c r="AT180" s="205">
        <v>0</v>
      </c>
      <c r="AU180" s="180"/>
      <c r="AV180" s="180"/>
    </row>
    <row r="181" spans="1:48" ht="13.5" hidden="1" customHeight="1">
      <c r="A181" s="178">
        <v>520250</v>
      </c>
      <c r="B181" s="178">
        <v>51002280</v>
      </c>
      <c r="D181" s="201" t="s">
        <v>575</v>
      </c>
      <c r="E181" s="180" t="s">
        <v>370</v>
      </c>
      <c r="F181" s="202"/>
      <c r="G181" s="203"/>
      <c r="H181" s="203"/>
      <c r="I181" s="203"/>
      <c r="J181" s="203"/>
      <c r="K181" s="216"/>
      <c r="L181" s="203"/>
      <c r="M181" s="203"/>
      <c r="N181" s="203"/>
      <c r="O181" s="203"/>
      <c r="P181" s="203"/>
      <c r="Q181" s="203"/>
      <c r="R181" s="205">
        <v>0</v>
      </c>
      <c r="S181" s="180"/>
      <c r="T181" s="220">
        <v>0</v>
      </c>
      <c r="U181" s="221">
        <v>0</v>
      </c>
      <c r="V181" s="221">
        <v>0</v>
      </c>
      <c r="W181" s="221">
        <v>0</v>
      </c>
      <c r="X181" s="221">
        <v>0</v>
      </c>
      <c r="Y181" s="221">
        <v>0</v>
      </c>
      <c r="Z181" s="221">
        <v>0</v>
      </c>
      <c r="AA181" s="221">
        <v>0</v>
      </c>
      <c r="AB181" s="221">
        <v>0</v>
      </c>
      <c r="AC181" s="221">
        <v>0</v>
      </c>
      <c r="AD181" s="221">
        <v>0</v>
      </c>
      <c r="AE181" s="221">
        <v>0</v>
      </c>
      <c r="AF181" s="218">
        <v>0</v>
      </c>
      <c r="AG181" s="180"/>
      <c r="AH181" s="202"/>
      <c r="AI181" s="203"/>
      <c r="AJ181" s="203"/>
      <c r="AK181" s="203"/>
      <c r="AL181" s="203"/>
      <c r="AM181" s="216"/>
      <c r="AN181" s="203"/>
      <c r="AO181" s="203"/>
      <c r="AP181" s="203"/>
      <c r="AQ181" s="203"/>
      <c r="AR181" s="203"/>
      <c r="AS181" s="203"/>
      <c r="AT181" s="205">
        <v>0</v>
      </c>
      <c r="AU181" s="180"/>
      <c r="AV181" s="180"/>
    </row>
    <row r="182" spans="1:48" ht="13.5" hidden="1" customHeight="1">
      <c r="A182" s="178">
        <v>520260</v>
      </c>
      <c r="B182" s="178">
        <v>51002310</v>
      </c>
      <c r="D182" s="201" t="s">
        <v>576</v>
      </c>
      <c r="E182" s="180" t="s">
        <v>370</v>
      </c>
      <c r="F182" s="202"/>
      <c r="G182" s="203"/>
      <c r="H182" s="203"/>
      <c r="I182" s="203"/>
      <c r="J182" s="203"/>
      <c r="K182" s="216"/>
      <c r="L182" s="203"/>
      <c r="M182" s="203"/>
      <c r="N182" s="203"/>
      <c r="O182" s="203"/>
      <c r="P182" s="203"/>
      <c r="Q182" s="203"/>
      <c r="R182" s="205">
        <v>0</v>
      </c>
      <c r="S182" s="180"/>
      <c r="T182" s="220">
        <v>0</v>
      </c>
      <c r="U182" s="221">
        <v>0</v>
      </c>
      <c r="V182" s="221">
        <v>0</v>
      </c>
      <c r="W182" s="221">
        <v>0</v>
      </c>
      <c r="X182" s="221">
        <v>0</v>
      </c>
      <c r="Y182" s="221">
        <v>0</v>
      </c>
      <c r="Z182" s="221">
        <v>0</v>
      </c>
      <c r="AA182" s="221">
        <v>0</v>
      </c>
      <c r="AB182" s="221">
        <v>0</v>
      </c>
      <c r="AC182" s="221">
        <v>0</v>
      </c>
      <c r="AD182" s="221">
        <v>0</v>
      </c>
      <c r="AE182" s="221">
        <v>0</v>
      </c>
      <c r="AF182" s="218">
        <v>0</v>
      </c>
      <c r="AG182" s="180"/>
      <c r="AH182" s="202"/>
      <c r="AI182" s="203"/>
      <c r="AJ182" s="203"/>
      <c r="AK182" s="203"/>
      <c r="AL182" s="203"/>
      <c r="AM182" s="216"/>
      <c r="AN182" s="203"/>
      <c r="AO182" s="203"/>
      <c r="AP182" s="203"/>
      <c r="AQ182" s="203"/>
      <c r="AR182" s="203"/>
      <c r="AS182" s="203"/>
      <c r="AT182" s="205">
        <v>0</v>
      </c>
      <c r="AU182" s="180"/>
      <c r="AV182" s="180"/>
    </row>
    <row r="183" spans="1:48" ht="13.5" hidden="1" customHeight="1">
      <c r="A183" s="178">
        <v>520270</v>
      </c>
      <c r="B183" s="178">
        <v>51002330</v>
      </c>
      <c r="D183" s="201" t="s">
        <v>577</v>
      </c>
      <c r="E183" s="180" t="s">
        <v>370</v>
      </c>
      <c r="F183" s="202"/>
      <c r="G183" s="203"/>
      <c r="H183" s="203"/>
      <c r="I183" s="203"/>
      <c r="J183" s="203"/>
      <c r="K183" s="216"/>
      <c r="L183" s="203"/>
      <c r="M183" s="203"/>
      <c r="N183" s="203"/>
      <c r="O183" s="203"/>
      <c r="P183" s="203"/>
      <c r="Q183" s="203"/>
      <c r="R183" s="205">
        <v>0</v>
      </c>
      <c r="S183" s="180"/>
      <c r="T183" s="220">
        <v>-908</v>
      </c>
      <c r="U183" s="221">
        <v>-908</v>
      </c>
      <c r="V183" s="221">
        <v>-908</v>
      </c>
      <c r="W183" s="221">
        <v>-908</v>
      </c>
      <c r="X183" s="221">
        <v>-908</v>
      </c>
      <c r="Y183" s="221">
        <v>-908</v>
      </c>
      <c r="Z183" s="221">
        <v>-908</v>
      </c>
      <c r="AA183" s="221">
        <v>-908</v>
      </c>
      <c r="AB183" s="221">
        <v>-908</v>
      </c>
      <c r="AC183" s="221">
        <v>-908</v>
      </c>
      <c r="AD183" s="221">
        <v>-908</v>
      </c>
      <c r="AE183" s="221">
        <v>-908</v>
      </c>
      <c r="AF183" s="218">
        <v>-2724</v>
      </c>
      <c r="AG183" s="180"/>
      <c r="AH183" s="202"/>
      <c r="AI183" s="203"/>
      <c r="AJ183" s="203"/>
      <c r="AK183" s="203"/>
      <c r="AL183" s="203"/>
      <c r="AM183" s="216"/>
      <c r="AN183" s="203"/>
      <c r="AO183" s="203"/>
      <c r="AP183" s="203"/>
      <c r="AQ183" s="203"/>
      <c r="AR183" s="203"/>
      <c r="AS183" s="203"/>
      <c r="AT183" s="205">
        <v>0</v>
      </c>
      <c r="AU183" s="180"/>
      <c r="AV183" s="180"/>
    </row>
    <row r="184" spans="1:48" ht="13.5" hidden="1" customHeight="1">
      <c r="A184" s="178">
        <v>520280</v>
      </c>
      <c r="B184" s="178"/>
      <c r="D184" s="201" t="s">
        <v>578</v>
      </c>
      <c r="E184" s="180" t="s">
        <v>370</v>
      </c>
      <c r="F184" s="202"/>
      <c r="G184" s="203"/>
      <c r="H184" s="203"/>
      <c r="I184" s="203"/>
      <c r="J184" s="203"/>
      <c r="K184" s="216"/>
      <c r="L184" s="203"/>
      <c r="M184" s="203"/>
      <c r="N184" s="203"/>
      <c r="O184" s="203"/>
      <c r="P184" s="203"/>
      <c r="Q184" s="203"/>
      <c r="R184" s="205">
        <v>0</v>
      </c>
      <c r="S184" s="180"/>
      <c r="T184" s="220">
        <v>-2604.1666666666702</v>
      </c>
      <c r="U184" s="221">
        <v>-2604.1666666666702</v>
      </c>
      <c r="V184" s="221">
        <v>-2604.1666666666702</v>
      </c>
      <c r="W184" s="221">
        <v>-2604.1666666666702</v>
      </c>
      <c r="X184" s="221">
        <v>-2604.1666666666702</v>
      </c>
      <c r="Y184" s="221">
        <v>-2604.1666666666702</v>
      </c>
      <c r="Z184" s="221">
        <v>-2604.1666666666702</v>
      </c>
      <c r="AA184" s="221">
        <v>-2604.1666666666702</v>
      </c>
      <c r="AB184" s="221">
        <v>-2604.1666666666702</v>
      </c>
      <c r="AC184" s="221">
        <v>-2604.1666666666702</v>
      </c>
      <c r="AD184" s="221">
        <v>-2604.1666666666702</v>
      </c>
      <c r="AE184" s="221">
        <v>-2604.1666666666702</v>
      </c>
      <c r="AF184" s="218">
        <v>-7812.5</v>
      </c>
      <c r="AG184" s="180"/>
      <c r="AH184" s="202"/>
      <c r="AI184" s="203"/>
      <c r="AJ184" s="203"/>
      <c r="AK184" s="203"/>
      <c r="AL184" s="203"/>
      <c r="AM184" s="216"/>
      <c r="AN184" s="203"/>
      <c r="AO184" s="203"/>
      <c r="AP184" s="203"/>
      <c r="AQ184" s="203"/>
      <c r="AR184" s="203"/>
      <c r="AS184" s="203"/>
      <c r="AT184" s="205">
        <v>0</v>
      </c>
      <c r="AU184" s="180"/>
      <c r="AV184" s="180"/>
    </row>
    <row r="185" spans="1:48" ht="13.5" hidden="1" customHeight="1">
      <c r="A185" s="178">
        <v>520290</v>
      </c>
      <c r="B185" s="178">
        <v>51002340</v>
      </c>
      <c r="D185" s="201" t="s">
        <v>579</v>
      </c>
      <c r="E185" s="180" t="s">
        <v>370</v>
      </c>
      <c r="F185" s="202"/>
      <c r="G185" s="203"/>
      <c r="H185" s="203"/>
      <c r="I185" s="203"/>
      <c r="J185" s="203"/>
      <c r="K185" s="216"/>
      <c r="L185" s="203"/>
      <c r="M185" s="203"/>
      <c r="N185" s="203"/>
      <c r="O185" s="203"/>
      <c r="P185" s="203"/>
      <c r="Q185" s="203"/>
      <c r="R185" s="205">
        <v>0</v>
      </c>
      <c r="S185" s="180"/>
      <c r="T185" s="220">
        <v>0</v>
      </c>
      <c r="U185" s="221">
        <v>0</v>
      </c>
      <c r="V185" s="221">
        <v>0</v>
      </c>
      <c r="W185" s="221">
        <v>0</v>
      </c>
      <c r="X185" s="221">
        <v>0</v>
      </c>
      <c r="Y185" s="221">
        <v>0</v>
      </c>
      <c r="Z185" s="221">
        <v>0</v>
      </c>
      <c r="AA185" s="221">
        <v>0</v>
      </c>
      <c r="AB185" s="221">
        <v>0</v>
      </c>
      <c r="AC185" s="221">
        <v>0</v>
      </c>
      <c r="AD185" s="221">
        <v>0</v>
      </c>
      <c r="AE185" s="221">
        <v>0</v>
      </c>
      <c r="AF185" s="218">
        <v>0</v>
      </c>
      <c r="AG185" s="180"/>
      <c r="AH185" s="202">
        <v>-699</v>
      </c>
      <c r="AI185" s="203"/>
      <c r="AJ185" s="203"/>
      <c r="AK185" s="203"/>
      <c r="AL185" s="203"/>
      <c r="AM185" s="216"/>
      <c r="AN185" s="203"/>
      <c r="AO185" s="203"/>
      <c r="AP185" s="203"/>
      <c r="AQ185" s="203"/>
      <c r="AR185" s="203"/>
      <c r="AS185" s="203"/>
      <c r="AT185" s="205">
        <v>-699</v>
      </c>
      <c r="AU185" s="180"/>
      <c r="AV185" s="180"/>
    </row>
    <row r="186" spans="1:48" ht="13.5" hidden="1" customHeight="1">
      <c r="A186" s="178">
        <v>520300</v>
      </c>
      <c r="B186" s="178"/>
      <c r="D186" s="201" t="s">
        <v>580</v>
      </c>
      <c r="E186" s="180" t="s">
        <v>370</v>
      </c>
      <c r="F186" s="202"/>
      <c r="G186" s="203"/>
      <c r="H186" s="203"/>
      <c r="I186" s="203"/>
      <c r="J186" s="203"/>
      <c r="K186" s="216"/>
      <c r="L186" s="203"/>
      <c r="M186" s="203"/>
      <c r="N186" s="203"/>
      <c r="O186" s="203"/>
      <c r="P186" s="203"/>
      <c r="Q186" s="203"/>
      <c r="R186" s="205">
        <v>0</v>
      </c>
      <c r="S186" s="180"/>
      <c r="T186" s="220">
        <v>0</v>
      </c>
      <c r="U186" s="221">
        <v>0</v>
      </c>
      <c r="V186" s="221">
        <v>0</v>
      </c>
      <c r="W186" s="221">
        <v>0</v>
      </c>
      <c r="X186" s="221">
        <v>0</v>
      </c>
      <c r="Y186" s="221">
        <v>0</v>
      </c>
      <c r="Z186" s="221">
        <v>0</v>
      </c>
      <c r="AA186" s="221">
        <v>0</v>
      </c>
      <c r="AB186" s="221">
        <v>0</v>
      </c>
      <c r="AC186" s="221">
        <v>0</v>
      </c>
      <c r="AD186" s="221">
        <v>0</v>
      </c>
      <c r="AE186" s="221">
        <v>0</v>
      </c>
      <c r="AF186" s="218">
        <v>0</v>
      </c>
      <c r="AG186" s="180"/>
      <c r="AH186" s="202"/>
      <c r="AI186" s="203"/>
      <c r="AJ186" s="203"/>
      <c r="AK186" s="203"/>
      <c r="AL186" s="203"/>
      <c r="AM186" s="216"/>
      <c r="AN186" s="203"/>
      <c r="AO186" s="203"/>
      <c r="AP186" s="203"/>
      <c r="AQ186" s="203"/>
      <c r="AR186" s="203"/>
      <c r="AS186" s="203"/>
      <c r="AT186" s="205">
        <v>0</v>
      </c>
      <c r="AU186" s="180"/>
      <c r="AV186" s="180"/>
    </row>
    <row r="187" spans="1:48" ht="13.5" hidden="1" customHeight="1">
      <c r="A187" s="178">
        <v>520310</v>
      </c>
      <c r="B187" s="178">
        <v>51002410</v>
      </c>
      <c r="D187" s="201" t="s">
        <v>581</v>
      </c>
      <c r="E187" s="180" t="s">
        <v>370</v>
      </c>
      <c r="F187" s="202"/>
      <c r="G187" s="203"/>
      <c r="H187" s="203"/>
      <c r="I187" s="203"/>
      <c r="J187" s="203"/>
      <c r="K187" s="216"/>
      <c r="L187" s="203"/>
      <c r="M187" s="203"/>
      <c r="O187" s="203"/>
      <c r="P187" s="203"/>
      <c r="Q187" s="203"/>
      <c r="R187" s="205">
        <v>0</v>
      </c>
      <c r="S187" s="180"/>
      <c r="T187" s="220">
        <v>0</v>
      </c>
      <c r="U187" s="221">
        <v>0</v>
      </c>
      <c r="V187" s="221">
        <v>0</v>
      </c>
      <c r="W187" s="221">
        <v>0</v>
      </c>
      <c r="X187" s="221">
        <v>0</v>
      </c>
      <c r="Y187" s="221">
        <v>0</v>
      </c>
      <c r="Z187" s="221">
        <v>0</v>
      </c>
      <c r="AA187" s="221">
        <v>0</v>
      </c>
      <c r="AB187" s="221">
        <v>0</v>
      </c>
      <c r="AC187" s="221">
        <v>0</v>
      </c>
      <c r="AD187" s="221">
        <v>0</v>
      </c>
      <c r="AE187" s="221">
        <v>0</v>
      </c>
      <c r="AF187" s="218">
        <v>0</v>
      </c>
      <c r="AG187" s="180"/>
      <c r="AH187" s="202"/>
      <c r="AI187" s="203">
        <v>-116</v>
      </c>
      <c r="AJ187" s="203"/>
      <c r="AK187" s="203"/>
      <c r="AL187" s="203"/>
      <c r="AM187" s="216"/>
      <c r="AN187" s="203"/>
      <c r="AO187" s="203"/>
      <c r="AQ187" s="203"/>
      <c r="AR187" s="203"/>
      <c r="AS187" s="203"/>
      <c r="AT187" s="205">
        <v>-116</v>
      </c>
      <c r="AU187" s="180"/>
      <c r="AV187" s="180"/>
    </row>
    <row r="188" spans="1:48" ht="13.5" hidden="1" customHeight="1">
      <c r="A188" s="178">
        <v>520320</v>
      </c>
      <c r="B188" s="178">
        <v>51002420</v>
      </c>
      <c r="D188" s="201" t="s">
        <v>582</v>
      </c>
      <c r="E188" s="180" t="s">
        <v>370</v>
      </c>
      <c r="F188" s="202">
        <v>-7300</v>
      </c>
      <c r="G188" s="203">
        <v>-114</v>
      </c>
      <c r="H188" s="203">
        <v>-7405.54</v>
      </c>
      <c r="I188" s="203"/>
      <c r="J188" s="203"/>
      <c r="K188" s="216"/>
      <c r="L188" s="216"/>
      <c r="M188" s="203"/>
      <c r="N188" s="203"/>
      <c r="O188" s="203"/>
      <c r="P188" s="203"/>
      <c r="Q188" s="203"/>
      <c r="R188" s="205">
        <v>-14819.54</v>
      </c>
      <c r="S188" s="180"/>
      <c r="T188" s="220">
        <v>-5000</v>
      </c>
      <c r="U188" s="221">
        <v>-5000</v>
      </c>
      <c r="V188" s="221">
        <v>-5000</v>
      </c>
      <c r="W188" s="221">
        <v>-5000</v>
      </c>
      <c r="X188" s="221">
        <v>-5000</v>
      </c>
      <c r="Y188" s="221">
        <v>-5000</v>
      </c>
      <c r="Z188" s="221">
        <v>-5000</v>
      </c>
      <c r="AA188" s="221">
        <v>-5000</v>
      </c>
      <c r="AB188" s="221">
        <v>-5000</v>
      </c>
      <c r="AC188" s="221">
        <v>-5000</v>
      </c>
      <c r="AD188" s="221">
        <v>-5000</v>
      </c>
      <c r="AE188" s="221">
        <v>-5000</v>
      </c>
      <c r="AF188" s="218">
        <v>-15000</v>
      </c>
      <c r="AG188" s="180"/>
      <c r="AH188" s="202">
        <v>-60000</v>
      </c>
      <c r="AI188" s="203">
        <v>-109317.83</v>
      </c>
      <c r="AJ188" s="203">
        <v>-128788.96</v>
      </c>
      <c r="AK188" s="203">
        <v>-117000.59</v>
      </c>
      <c r="AL188" s="203">
        <v>-30292.02</v>
      </c>
      <c r="AM188" s="216">
        <v>-440</v>
      </c>
      <c r="AN188" s="253">
        <v>-65000</v>
      </c>
      <c r="AO188" s="203">
        <v>-15000</v>
      </c>
      <c r="AP188" s="203">
        <v>-7500</v>
      </c>
      <c r="AQ188" s="203"/>
      <c r="AR188" s="203">
        <v>-10400</v>
      </c>
      <c r="AS188" s="203">
        <v>-10100</v>
      </c>
      <c r="AT188" s="205">
        <v>-553839.4</v>
      </c>
      <c r="AU188" s="180"/>
      <c r="AV188" s="180"/>
    </row>
    <row r="189" spans="1:48" ht="13.5" hidden="1" customHeight="1">
      <c r="A189" s="178">
        <v>520330</v>
      </c>
      <c r="B189" s="178">
        <v>51002430</v>
      </c>
      <c r="D189" s="201" t="s">
        <v>583</v>
      </c>
      <c r="E189" s="180" t="s">
        <v>370</v>
      </c>
      <c r="F189" s="202"/>
      <c r="G189" s="203"/>
      <c r="H189" s="203"/>
      <c r="I189" s="203"/>
      <c r="J189" s="203"/>
      <c r="K189" s="216"/>
      <c r="L189" s="203"/>
      <c r="M189" s="203"/>
      <c r="N189" s="203"/>
      <c r="O189" s="203"/>
      <c r="P189" s="203"/>
      <c r="Q189" s="203"/>
      <c r="R189" s="205">
        <v>0</v>
      </c>
      <c r="S189" s="180"/>
      <c r="T189" s="220">
        <v>0</v>
      </c>
      <c r="U189" s="221">
        <v>0</v>
      </c>
      <c r="V189" s="221">
        <v>0</v>
      </c>
      <c r="W189" s="221">
        <v>0</v>
      </c>
      <c r="X189" s="221">
        <v>0</v>
      </c>
      <c r="Y189" s="221">
        <v>0</v>
      </c>
      <c r="Z189" s="221">
        <v>0</v>
      </c>
      <c r="AA189" s="221">
        <v>0</v>
      </c>
      <c r="AB189" s="221">
        <v>0</v>
      </c>
      <c r="AC189" s="221">
        <v>0</v>
      </c>
      <c r="AD189" s="221">
        <v>0</v>
      </c>
      <c r="AE189" s="221">
        <v>0</v>
      </c>
      <c r="AF189" s="218">
        <v>0</v>
      </c>
      <c r="AG189" s="180"/>
      <c r="AH189" s="202"/>
      <c r="AI189" s="203">
        <v>-16</v>
      </c>
      <c r="AJ189" s="203">
        <v>-39</v>
      </c>
      <c r="AK189" s="203"/>
      <c r="AL189" s="203">
        <v>-16</v>
      </c>
      <c r="AM189" s="216"/>
      <c r="AN189" s="203"/>
      <c r="AO189" s="203"/>
      <c r="AP189" s="203"/>
      <c r="AQ189" s="203"/>
      <c r="AR189" s="203"/>
      <c r="AS189" s="203"/>
      <c r="AT189" s="205">
        <v>-71</v>
      </c>
      <c r="AU189" s="180"/>
      <c r="AV189" s="180"/>
    </row>
    <row r="190" spans="1:48" ht="13.5" hidden="1" customHeight="1">
      <c r="A190" s="178">
        <v>520340</v>
      </c>
      <c r="B190" s="178">
        <v>51002450</v>
      </c>
      <c r="D190" s="201" t="s">
        <v>584</v>
      </c>
      <c r="E190" s="180" t="s">
        <v>370</v>
      </c>
      <c r="F190" s="202"/>
      <c r="G190" s="203"/>
      <c r="H190" s="203"/>
      <c r="I190" s="203"/>
      <c r="J190" s="203"/>
      <c r="K190" s="216"/>
      <c r="L190" s="203"/>
      <c r="M190" s="203"/>
      <c r="N190" s="203"/>
      <c r="O190" s="203"/>
      <c r="P190" s="203"/>
      <c r="Q190" s="203"/>
      <c r="R190" s="205">
        <v>0</v>
      </c>
      <c r="S190" s="180"/>
      <c r="T190" s="220">
        <v>0</v>
      </c>
      <c r="U190" s="221">
        <v>0</v>
      </c>
      <c r="V190" s="221">
        <v>0</v>
      </c>
      <c r="W190" s="221">
        <v>0</v>
      </c>
      <c r="X190" s="221">
        <v>0</v>
      </c>
      <c r="Y190" s="221">
        <v>0</v>
      </c>
      <c r="Z190" s="221">
        <v>0</v>
      </c>
      <c r="AA190" s="221">
        <v>0</v>
      </c>
      <c r="AB190" s="221">
        <v>0</v>
      </c>
      <c r="AC190" s="221">
        <v>0</v>
      </c>
      <c r="AD190" s="221">
        <v>0</v>
      </c>
      <c r="AE190" s="221">
        <v>0</v>
      </c>
      <c r="AF190" s="218">
        <v>0</v>
      </c>
      <c r="AG190" s="180"/>
      <c r="AH190" s="202"/>
      <c r="AI190" s="203">
        <v>-26000</v>
      </c>
      <c r="AJ190" s="203">
        <v>-600</v>
      </c>
      <c r="AK190" s="203">
        <v>25850</v>
      </c>
      <c r="AL190" s="203">
        <v>-570</v>
      </c>
      <c r="AM190" s="216"/>
      <c r="AN190" s="203"/>
      <c r="AO190" s="203"/>
      <c r="AP190" s="203"/>
      <c r="AQ190" s="203"/>
      <c r="AR190" s="203"/>
      <c r="AS190" s="203"/>
      <c r="AT190" s="205">
        <v>-1320</v>
      </c>
      <c r="AU190" s="180"/>
      <c r="AV190" s="180"/>
    </row>
    <row r="191" spans="1:48" ht="13.5" hidden="1" customHeight="1">
      <c r="A191" s="178">
        <v>520350</v>
      </c>
      <c r="B191" s="178">
        <v>51002460</v>
      </c>
      <c r="D191" s="201" t="s">
        <v>585</v>
      </c>
      <c r="E191" s="180" t="s">
        <v>370</v>
      </c>
      <c r="F191" s="202">
        <v>-226</v>
      </c>
      <c r="G191" s="203"/>
      <c r="H191" s="203"/>
      <c r="I191" s="203"/>
      <c r="J191" s="203"/>
      <c r="K191" s="216"/>
      <c r="L191" s="203"/>
      <c r="M191" s="203"/>
      <c r="N191" s="203"/>
      <c r="O191" s="203"/>
      <c r="P191" s="203"/>
      <c r="Q191" s="203"/>
      <c r="R191" s="205">
        <v>-226</v>
      </c>
      <c r="S191" s="180"/>
      <c r="T191" s="220">
        <v>0</v>
      </c>
      <c r="U191" s="221">
        <v>0</v>
      </c>
      <c r="V191" s="221">
        <v>0</v>
      </c>
      <c r="W191" s="221">
        <v>0</v>
      </c>
      <c r="X191" s="221">
        <v>0</v>
      </c>
      <c r="Y191" s="221">
        <v>0</v>
      </c>
      <c r="Z191" s="221">
        <v>0</v>
      </c>
      <c r="AA191" s="221">
        <v>0</v>
      </c>
      <c r="AB191" s="221">
        <v>0</v>
      </c>
      <c r="AC191" s="221">
        <v>0</v>
      </c>
      <c r="AD191" s="221">
        <v>0</v>
      </c>
      <c r="AE191" s="221">
        <v>0</v>
      </c>
      <c r="AF191" s="218">
        <v>0</v>
      </c>
      <c r="AG191" s="180"/>
      <c r="AH191" s="202"/>
      <c r="AI191" s="203">
        <v>-1351</v>
      </c>
      <c r="AJ191" s="203"/>
      <c r="AK191" s="203"/>
      <c r="AL191" s="203"/>
      <c r="AM191" s="216"/>
      <c r="AN191" s="203"/>
      <c r="AO191" s="203"/>
      <c r="AP191" s="203"/>
      <c r="AQ191" s="203"/>
      <c r="AR191" s="203"/>
      <c r="AS191" s="203"/>
      <c r="AT191" s="205">
        <v>-1351</v>
      </c>
      <c r="AU191" s="180"/>
      <c r="AV191" s="180"/>
    </row>
    <row r="192" spans="1:48" ht="13.5" hidden="1" customHeight="1">
      <c r="A192" s="178">
        <v>520360</v>
      </c>
      <c r="B192" s="178">
        <v>51002470</v>
      </c>
      <c r="D192" s="201" t="s">
        <v>586</v>
      </c>
      <c r="E192" s="180" t="s">
        <v>370</v>
      </c>
      <c r="F192" s="202">
        <v>-8700</v>
      </c>
      <c r="G192" s="203"/>
      <c r="H192" s="203"/>
      <c r="I192" s="203"/>
      <c r="J192" s="203"/>
      <c r="K192" s="216"/>
      <c r="L192" s="203"/>
      <c r="M192" s="203"/>
      <c r="N192" s="203"/>
      <c r="O192" s="203"/>
      <c r="P192" s="203"/>
      <c r="Q192" s="203"/>
      <c r="R192" s="205">
        <v>-8700</v>
      </c>
      <c r="S192" s="180"/>
      <c r="T192" s="220">
        <v>0</v>
      </c>
      <c r="U192" s="221">
        <v>0</v>
      </c>
      <c r="V192" s="221">
        <v>0</v>
      </c>
      <c r="W192" s="221">
        <v>0</v>
      </c>
      <c r="X192" s="221">
        <v>0</v>
      </c>
      <c r="Y192" s="221">
        <v>0</v>
      </c>
      <c r="Z192" s="221">
        <v>0</v>
      </c>
      <c r="AA192" s="221">
        <v>0</v>
      </c>
      <c r="AB192" s="221">
        <v>0</v>
      </c>
      <c r="AC192" s="221">
        <v>0</v>
      </c>
      <c r="AD192" s="221">
        <v>0</v>
      </c>
      <c r="AE192" s="221">
        <v>0</v>
      </c>
      <c r="AF192" s="218">
        <v>0</v>
      </c>
      <c r="AG192" s="180"/>
      <c r="AH192" s="202"/>
      <c r="AI192" s="203"/>
      <c r="AJ192" s="203"/>
      <c r="AK192" s="203"/>
      <c r="AL192" s="203"/>
      <c r="AM192" s="216"/>
      <c r="AN192" s="203"/>
      <c r="AO192" s="203"/>
      <c r="AP192" s="203"/>
      <c r="AQ192" s="203"/>
      <c r="AR192" s="203"/>
      <c r="AS192" s="203"/>
      <c r="AT192" s="205">
        <v>0</v>
      </c>
      <c r="AU192" s="180"/>
      <c r="AV192" s="180"/>
    </row>
    <row r="193" spans="1:48" ht="13.5" hidden="1" customHeight="1">
      <c r="A193" s="178">
        <v>520370</v>
      </c>
      <c r="B193" s="178">
        <v>51002480</v>
      </c>
      <c r="D193" s="201" t="s">
        <v>587</v>
      </c>
      <c r="E193" s="180" t="s">
        <v>370</v>
      </c>
      <c r="F193" s="202">
        <v>-7075</v>
      </c>
      <c r="G193" s="203">
        <v>-60</v>
      </c>
      <c r="H193" s="203">
        <v>-5580.08</v>
      </c>
      <c r="I193" s="203"/>
      <c r="J193" s="203"/>
      <c r="K193" s="216"/>
      <c r="L193" s="240"/>
      <c r="M193" s="223"/>
      <c r="N193" s="203"/>
      <c r="O193" s="203"/>
      <c r="P193" s="203"/>
      <c r="Q193" s="203"/>
      <c r="R193" s="205">
        <v>-12715.08</v>
      </c>
      <c r="S193" s="180"/>
      <c r="T193" s="220">
        <v>-3301.29</v>
      </c>
      <c r="U193" s="221">
        <v>-3301.29</v>
      </c>
      <c r="V193" s="221">
        <v>-3301.29</v>
      </c>
      <c r="W193" s="221">
        <v>-3301.29</v>
      </c>
      <c r="X193" s="221">
        <v>-3301.29</v>
      </c>
      <c r="Y193" s="221">
        <v>-3301.29</v>
      </c>
      <c r="Z193" s="221">
        <v>-3301.29</v>
      </c>
      <c r="AA193" s="221">
        <v>-3301.29</v>
      </c>
      <c r="AB193" s="221">
        <v>-3301.29</v>
      </c>
      <c r="AC193" s="221">
        <v>-3301.29</v>
      </c>
      <c r="AD193" s="221">
        <v>-3301.29</v>
      </c>
      <c r="AE193" s="221">
        <v>-3301.29</v>
      </c>
      <c r="AF193" s="218">
        <v>-9903.8700000000008</v>
      </c>
      <c r="AG193" s="180"/>
      <c r="AH193" s="202">
        <v>-22478</v>
      </c>
      <c r="AI193" s="203">
        <v>-22718.03</v>
      </c>
      <c r="AJ193" s="203">
        <v>-63800</v>
      </c>
      <c r="AK193" s="203">
        <v>-3301.29</v>
      </c>
      <c r="AL193" s="203">
        <v>-53683.19</v>
      </c>
      <c r="AM193" s="216">
        <v>-76980.320000000007</v>
      </c>
      <c r="AN193" s="240">
        <v>-350.53</v>
      </c>
      <c r="AO193" s="226">
        <v>-81390.570000000007</v>
      </c>
      <c r="AP193" s="203">
        <v>-6440</v>
      </c>
      <c r="AQ193" s="203"/>
      <c r="AR193" s="203">
        <v>-2400</v>
      </c>
      <c r="AS193" s="203">
        <v>-4131</v>
      </c>
      <c r="AT193" s="205">
        <v>-337672.93</v>
      </c>
      <c r="AU193" s="180"/>
      <c r="AV193" s="180"/>
    </row>
    <row r="194" spans="1:48" ht="13.5" hidden="1" customHeight="1">
      <c r="A194" s="178">
        <v>520380</v>
      </c>
      <c r="B194" s="178">
        <v>51002490</v>
      </c>
      <c r="D194" s="201" t="s">
        <v>588</v>
      </c>
      <c r="E194" s="180" t="s">
        <v>370</v>
      </c>
      <c r="F194" s="202"/>
      <c r="G194" s="203"/>
      <c r="H194" s="203"/>
      <c r="I194" s="203"/>
      <c r="J194" s="203"/>
      <c r="K194" s="216"/>
      <c r="L194" s="203"/>
      <c r="M194" s="203"/>
      <c r="N194" s="203"/>
      <c r="O194" s="203"/>
      <c r="P194" s="203"/>
      <c r="Q194" s="203"/>
      <c r="R194" s="205">
        <v>0</v>
      </c>
      <c r="S194" s="180"/>
      <c r="T194" s="220">
        <v>0</v>
      </c>
      <c r="U194" s="221">
        <v>0</v>
      </c>
      <c r="V194" s="221">
        <v>0</v>
      </c>
      <c r="W194" s="221">
        <v>0</v>
      </c>
      <c r="X194" s="221">
        <v>0</v>
      </c>
      <c r="Y194" s="221">
        <v>0</v>
      </c>
      <c r="Z194" s="221">
        <v>0</v>
      </c>
      <c r="AA194" s="221">
        <v>0</v>
      </c>
      <c r="AB194" s="221">
        <v>0</v>
      </c>
      <c r="AC194" s="221">
        <v>0</v>
      </c>
      <c r="AD194" s="221">
        <v>0</v>
      </c>
      <c r="AE194" s="221">
        <v>0</v>
      </c>
      <c r="AF194" s="218">
        <v>0</v>
      </c>
      <c r="AG194" s="180"/>
      <c r="AH194" s="202"/>
      <c r="AI194" s="203"/>
      <c r="AJ194" s="203"/>
      <c r="AK194" s="203"/>
      <c r="AL194" s="203"/>
      <c r="AM194" s="216"/>
      <c r="AN194" s="203"/>
      <c r="AO194" s="203"/>
      <c r="AP194" s="203"/>
      <c r="AQ194" s="203"/>
      <c r="AR194" s="203">
        <v>-3772</v>
      </c>
      <c r="AS194" s="203"/>
      <c r="AT194" s="205">
        <v>-3772</v>
      </c>
      <c r="AU194" s="180"/>
      <c r="AV194" s="180"/>
    </row>
    <row r="195" spans="1:48" ht="13.5" hidden="1" customHeight="1">
      <c r="A195" s="178">
        <v>520390</v>
      </c>
      <c r="B195" s="178"/>
      <c r="D195" s="201" t="s">
        <v>589</v>
      </c>
      <c r="E195" s="180" t="s">
        <v>370</v>
      </c>
      <c r="F195" s="202"/>
      <c r="G195" s="203"/>
      <c r="H195" s="203"/>
      <c r="I195" s="203"/>
      <c r="J195" s="203"/>
      <c r="K195" s="216"/>
      <c r="L195" s="203"/>
      <c r="M195" s="203"/>
      <c r="N195" s="203"/>
      <c r="O195" s="203"/>
      <c r="P195" s="203"/>
      <c r="Q195" s="203"/>
      <c r="R195" s="205">
        <v>0</v>
      </c>
      <c r="S195" s="180"/>
      <c r="T195" s="220">
        <v>0</v>
      </c>
      <c r="U195" s="221">
        <v>0</v>
      </c>
      <c r="V195" s="221">
        <v>0</v>
      </c>
      <c r="W195" s="221">
        <v>0</v>
      </c>
      <c r="X195" s="221">
        <v>0</v>
      </c>
      <c r="Y195" s="221">
        <v>0</v>
      </c>
      <c r="Z195" s="221">
        <v>0</v>
      </c>
      <c r="AA195" s="221">
        <v>0</v>
      </c>
      <c r="AB195" s="221">
        <v>0</v>
      </c>
      <c r="AC195" s="221">
        <v>0</v>
      </c>
      <c r="AD195" s="221">
        <v>0</v>
      </c>
      <c r="AE195" s="221">
        <v>0</v>
      </c>
      <c r="AF195" s="218">
        <v>0</v>
      </c>
      <c r="AG195" s="180"/>
      <c r="AH195" s="202"/>
      <c r="AI195" s="203"/>
      <c r="AJ195" s="203"/>
      <c r="AK195" s="203"/>
      <c r="AL195" s="203"/>
      <c r="AM195" s="216"/>
      <c r="AN195" s="203"/>
      <c r="AO195" s="203"/>
      <c r="AP195" s="203"/>
      <c r="AQ195" s="203"/>
      <c r="AR195" s="203"/>
      <c r="AS195" s="203"/>
      <c r="AT195" s="205">
        <v>0</v>
      </c>
      <c r="AU195" s="180"/>
      <c r="AV195" s="180"/>
    </row>
    <row r="196" spans="1:48" ht="13.5" hidden="1" customHeight="1">
      <c r="A196" s="178">
        <v>520395</v>
      </c>
      <c r="B196" s="178">
        <v>51002520</v>
      </c>
      <c r="D196" s="201" t="s">
        <v>590</v>
      </c>
      <c r="E196" s="180" t="s">
        <v>370</v>
      </c>
      <c r="F196" s="202"/>
      <c r="G196" s="203"/>
      <c r="H196" s="203"/>
      <c r="I196" s="203"/>
      <c r="J196" s="203"/>
      <c r="K196" s="216"/>
      <c r="L196" s="203"/>
      <c r="M196" s="203"/>
      <c r="O196" s="203"/>
      <c r="P196" s="203"/>
      <c r="Q196" s="203"/>
      <c r="R196" s="205">
        <v>0</v>
      </c>
      <c r="S196" s="180"/>
      <c r="T196" s="220">
        <v>0</v>
      </c>
      <c r="U196" s="221">
        <v>0</v>
      </c>
      <c r="V196" s="221">
        <v>0</v>
      </c>
      <c r="W196" s="221">
        <v>0</v>
      </c>
      <c r="X196" s="221">
        <v>0</v>
      </c>
      <c r="Y196" s="221">
        <v>0</v>
      </c>
      <c r="Z196" s="221">
        <v>0</v>
      </c>
      <c r="AA196" s="221">
        <v>0</v>
      </c>
      <c r="AB196" s="221">
        <v>0</v>
      </c>
      <c r="AC196" s="221">
        <v>0</v>
      </c>
      <c r="AD196" s="221">
        <v>0</v>
      </c>
      <c r="AE196" s="221">
        <v>0</v>
      </c>
      <c r="AF196" s="218">
        <v>0</v>
      </c>
      <c r="AG196" s="180"/>
      <c r="AH196" s="202"/>
      <c r="AI196" s="203"/>
      <c r="AJ196" s="203"/>
      <c r="AK196" s="203"/>
      <c r="AL196" s="203"/>
      <c r="AM196" s="216"/>
      <c r="AN196" s="203"/>
      <c r="AO196" s="203"/>
      <c r="AQ196" s="203"/>
      <c r="AR196" s="203">
        <v>-2000</v>
      </c>
      <c r="AS196" s="203"/>
      <c r="AT196" s="205">
        <v>-2000</v>
      </c>
      <c r="AU196" s="180"/>
      <c r="AV196" s="180"/>
    </row>
    <row r="197" spans="1:48" ht="13.5" hidden="1" customHeight="1">
      <c r="A197" s="178">
        <v>520400</v>
      </c>
      <c r="B197" s="178">
        <v>51002610</v>
      </c>
      <c r="D197" s="201" t="s">
        <v>591</v>
      </c>
      <c r="E197" s="180" t="s">
        <v>370</v>
      </c>
      <c r="F197" s="202">
        <v>-4339.34</v>
      </c>
      <c r="G197" s="203">
        <v>-4339.34</v>
      </c>
      <c r="H197" s="203">
        <v>-2403.33</v>
      </c>
      <c r="I197" s="203"/>
      <c r="J197" s="203"/>
      <c r="K197" s="216"/>
      <c r="L197" s="203"/>
      <c r="M197" s="203"/>
      <c r="N197" s="203"/>
      <c r="O197" s="203"/>
      <c r="P197" s="203"/>
      <c r="Q197" s="203"/>
      <c r="R197" s="205">
        <v>-11082.01</v>
      </c>
      <c r="S197" s="180"/>
      <c r="T197" s="220">
        <v>-4339.34</v>
      </c>
      <c r="U197" s="221">
        <v>-4339.34</v>
      </c>
      <c r="V197" s="221">
        <v>-4339.34</v>
      </c>
      <c r="W197" s="221">
        <v>-4339.34</v>
      </c>
      <c r="X197" s="221">
        <v>-4339.34</v>
      </c>
      <c r="Y197" s="221">
        <v>-4339.34</v>
      </c>
      <c r="Z197" s="221">
        <v>-4339.34</v>
      </c>
      <c r="AA197" s="221">
        <v>-4339.34</v>
      </c>
      <c r="AB197" s="221">
        <v>-4339.34</v>
      </c>
      <c r="AC197" s="221">
        <v>-4339.34</v>
      </c>
      <c r="AD197" s="221">
        <v>-4339.34</v>
      </c>
      <c r="AE197" s="221">
        <v>-4339.34</v>
      </c>
      <c r="AF197" s="218">
        <v>-13018.02</v>
      </c>
      <c r="AG197" s="180"/>
      <c r="AH197" s="202">
        <v>-4339.34</v>
      </c>
      <c r="AI197" s="203">
        <v>-4339.34</v>
      </c>
      <c r="AJ197" s="203">
        <v>-4339.34</v>
      </c>
      <c r="AK197" s="203">
        <v>-4339.34</v>
      </c>
      <c r="AL197" s="203">
        <v>-4339.34</v>
      </c>
      <c r="AM197" s="216">
        <v>-4339.34</v>
      </c>
      <c r="AN197" s="203">
        <v>-4339.34</v>
      </c>
      <c r="AO197" s="203">
        <v>-4339.34</v>
      </c>
      <c r="AP197" s="203">
        <v>-4339.34</v>
      </c>
      <c r="AQ197" s="203">
        <v>-4339.34</v>
      </c>
      <c r="AR197" s="203">
        <v>-4339.34</v>
      </c>
      <c r="AS197" s="203">
        <v>-4339.34</v>
      </c>
      <c r="AT197" s="205">
        <v>-52072.08</v>
      </c>
      <c r="AU197" s="180"/>
      <c r="AV197" s="180"/>
    </row>
    <row r="198" spans="1:48" ht="13.5" hidden="1" customHeight="1">
      <c r="A198" s="178">
        <v>520410</v>
      </c>
      <c r="B198" s="178">
        <v>51002630</v>
      </c>
      <c r="D198" s="201" t="s">
        <v>592</v>
      </c>
      <c r="E198" s="180" t="s">
        <v>370</v>
      </c>
      <c r="F198" s="202"/>
      <c r="G198" s="203"/>
      <c r="H198" s="203"/>
      <c r="I198" s="203"/>
      <c r="J198" s="203"/>
      <c r="K198" s="216"/>
      <c r="L198" s="203"/>
      <c r="M198" s="203"/>
      <c r="O198" s="203"/>
      <c r="P198" s="203"/>
      <c r="Q198" s="203"/>
      <c r="R198" s="205">
        <v>0</v>
      </c>
      <c r="S198" s="180"/>
      <c r="T198" s="220">
        <v>0</v>
      </c>
      <c r="U198" s="221">
        <v>0</v>
      </c>
      <c r="V198" s="221">
        <v>0</v>
      </c>
      <c r="W198" s="221">
        <v>0</v>
      </c>
      <c r="X198" s="221">
        <v>0</v>
      </c>
      <c r="Y198" s="221">
        <v>0</v>
      </c>
      <c r="Z198" s="221">
        <v>0</v>
      </c>
      <c r="AA198" s="221">
        <v>0</v>
      </c>
      <c r="AB198" s="221">
        <v>0</v>
      </c>
      <c r="AC198" s="221">
        <v>0</v>
      </c>
      <c r="AD198" s="221">
        <v>0</v>
      </c>
      <c r="AE198" s="221">
        <v>0</v>
      </c>
      <c r="AF198" s="218">
        <v>0</v>
      </c>
      <c r="AG198" s="180"/>
      <c r="AH198" s="202"/>
      <c r="AI198" s="203"/>
      <c r="AJ198" s="203"/>
      <c r="AK198" s="203"/>
      <c r="AL198" s="203"/>
      <c r="AM198" s="216"/>
      <c r="AN198" s="203"/>
      <c r="AO198" s="203"/>
      <c r="AQ198" s="203"/>
      <c r="AR198" s="203"/>
      <c r="AS198" s="203"/>
      <c r="AT198" s="205">
        <v>0</v>
      </c>
      <c r="AU198" s="180"/>
      <c r="AV198" s="180"/>
    </row>
    <row r="199" spans="1:48" ht="13.5" hidden="1" customHeight="1">
      <c r="A199" s="178">
        <v>520420</v>
      </c>
      <c r="B199" s="178">
        <v>51002710</v>
      </c>
      <c r="D199" s="201" t="s">
        <v>593</v>
      </c>
      <c r="E199" s="180" t="s">
        <v>370</v>
      </c>
      <c r="F199" s="202">
        <v>-787.8</v>
      </c>
      <c r="G199" s="203">
        <v>-405.3</v>
      </c>
      <c r="H199" s="203">
        <v>-787.8</v>
      </c>
      <c r="I199" s="203"/>
      <c r="J199" s="203"/>
      <c r="K199" s="216"/>
      <c r="L199" s="203"/>
      <c r="M199" s="203"/>
      <c r="N199" s="203"/>
      <c r="O199" s="203"/>
      <c r="P199" s="203"/>
      <c r="Q199" s="203"/>
      <c r="R199" s="205">
        <v>-1980.9</v>
      </c>
      <c r="S199" s="180"/>
      <c r="T199" s="220">
        <v>-2812.5</v>
      </c>
      <c r="U199" s="221">
        <v>-2812.5</v>
      </c>
      <c r="V199" s="221">
        <v>-2812.5</v>
      </c>
      <c r="W199" s="221">
        <v>-2812.5</v>
      </c>
      <c r="X199" s="221">
        <v>-2812.5</v>
      </c>
      <c r="Y199" s="221">
        <v>-2812.5</v>
      </c>
      <c r="Z199" s="221">
        <v>-5625</v>
      </c>
      <c r="AA199" s="221">
        <v>-5625</v>
      </c>
      <c r="AB199" s="221">
        <v>-5625</v>
      </c>
      <c r="AC199" s="221">
        <v>-5625</v>
      </c>
      <c r="AD199" s="221">
        <v>-5625</v>
      </c>
      <c r="AE199" s="221">
        <v>-5625</v>
      </c>
      <c r="AF199" s="218">
        <v>-8437.5</v>
      </c>
      <c r="AG199" s="180"/>
      <c r="AH199" s="202"/>
      <c r="AI199" s="203"/>
      <c r="AJ199" s="203">
        <v>-3775.78</v>
      </c>
      <c r="AK199" s="203">
        <v>-403.3</v>
      </c>
      <c r="AL199" s="203">
        <v>-6958.3</v>
      </c>
      <c r="AM199" s="216">
        <v>-403.3</v>
      </c>
      <c r="AN199" s="203">
        <v>-403.3</v>
      </c>
      <c r="AO199" s="203">
        <v>-6388.3</v>
      </c>
      <c r="AP199" s="203">
        <v>-403.3</v>
      </c>
      <c r="AQ199" s="203">
        <v>-5723.3</v>
      </c>
      <c r="AR199" s="203">
        <v>-808.6</v>
      </c>
      <c r="AS199" s="203">
        <v>-808.6</v>
      </c>
      <c r="AT199" s="205">
        <v>-26076.080000000002</v>
      </c>
      <c r="AU199" s="180"/>
      <c r="AV199" s="180"/>
    </row>
    <row r="200" spans="1:48" ht="13.5" hidden="1" customHeight="1">
      <c r="A200" s="178"/>
      <c r="B200" s="178"/>
      <c r="D200" s="201" t="s">
        <v>594</v>
      </c>
      <c r="E200" s="180"/>
      <c r="F200" s="202"/>
      <c r="G200" s="203"/>
      <c r="H200" s="203"/>
      <c r="I200" s="203"/>
      <c r="J200" s="203"/>
      <c r="K200" s="216"/>
      <c r="L200" s="203"/>
      <c r="M200" s="203"/>
      <c r="N200" s="203"/>
      <c r="O200" s="203"/>
      <c r="P200" s="203"/>
      <c r="Q200" s="203"/>
      <c r="R200" s="205">
        <v>0</v>
      </c>
      <c r="S200" s="180"/>
      <c r="T200" s="220">
        <v>0</v>
      </c>
      <c r="U200" s="221">
        <v>0</v>
      </c>
      <c r="V200" s="221">
        <v>0</v>
      </c>
      <c r="W200" s="221">
        <v>0</v>
      </c>
      <c r="X200" s="221">
        <v>0</v>
      </c>
      <c r="Y200" s="221">
        <v>0</v>
      </c>
      <c r="Z200" s="221">
        <v>0</v>
      </c>
      <c r="AA200" s="221">
        <v>0</v>
      </c>
      <c r="AB200" s="221">
        <v>0</v>
      </c>
      <c r="AC200" s="221">
        <v>0</v>
      </c>
      <c r="AD200" s="221">
        <v>0</v>
      </c>
      <c r="AE200" s="221">
        <v>0</v>
      </c>
      <c r="AF200" s="218"/>
      <c r="AG200" s="180"/>
      <c r="AH200" s="202"/>
      <c r="AI200" s="203"/>
      <c r="AJ200" s="203"/>
      <c r="AK200" s="203"/>
      <c r="AL200" s="203"/>
      <c r="AM200" s="216"/>
      <c r="AN200" s="203"/>
      <c r="AO200" s="203"/>
      <c r="AP200" s="203"/>
      <c r="AQ200" s="203"/>
      <c r="AR200" s="203"/>
      <c r="AS200" s="203"/>
      <c r="AT200" s="205">
        <v>0</v>
      </c>
      <c r="AU200" s="180"/>
      <c r="AV200" s="180"/>
    </row>
    <row r="201" spans="1:48" ht="13.5" hidden="1" customHeight="1">
      <c r="A201" s="178">
        <v>520430</v>
      </c>
      <c r="B201" s="178">
        <v>51002720</v>
      </c>
      <c r="D201" s="201" t="s">
        <v>595</v>
      </c>
      <c r="E201" s="180" t="s">
        <v>370</v>
      </c>
      <c r="F201" s="202"/>
      <c r="G201" s="203"/>
      <c r="H201" s="203"/>
      <c r="I201" s="203"/>
      <c r="J201" s="203"/>
      <c r="K201" s="216"/>
      <c r="L201" s="203"/>
      <c r="M201" s="203"/>
      <c r="N201" s="203"/>
      <c r="O201" s="203"/>
      <c r="P201" s="203"/>
      <c r="Q201" s="203"/>
      <c r="R201" s="205">
        <v>0</v>
      </c>
      <c r="S201" s="180"/>
      <c r="T201" s="220">
        <v>0</v>
      </c>
      <c r="U201" s="221">
        <v>0</v>
      </c>
      <c r="V201" s="221">
        <v>0</v>
      </c>
      <c r="W201" s="221">
        <v>0</v>
      </c>
      <c r="X201" s="221">
        <v>0</v>
      </c>
      <c r="Y201" s="221">
        <v>0</v>
      </c>
      <c r="Z201" s="221">
        <v>0</v>
      </c>
      <c r="AA201" s="221">
        <v>0</v>
      </c>
      <c r="AB201" s="221">
        <v>0</v>
      </c>
      <c r="AC201" s="221">
        <v>0</v>
      </c>
      <c r="AD201" s="221">
        <v>0</v>
      </c>
      <c r="AE201" s="221">
        <v>0</v>
      </c>
      <c r="AF201" s="218">
        <v>0</v>
      </c>
      <c r="AG201" s="180"/>
      <c r="AH201" s="202"/>
      <c r="AI201" s="203"/>
      <c r="AJ201" s="203"/>
      <c r="AK201" s="203"/>
      <c r="AL201" s="203"/>
      <c r="AM201" s="216"/>
      <c r="AN201" s="203"/>
      <c r="AO201" s="203"/>
      <c r="AP201" s="203"/>
      <c r="AQ201" s="203"/>
      <c r="AR201" s="203"/>
      <c r="AS201" s="203"/>
      <c r="AT201" s="205">
        <v>0</v>
      </c>
      <c r="AU201" s="180"/>
      <c r="AV201" s="180"/>
    </row>
    <row r="202" spans="1:48" ht="13.5" hidden="1" customHeight="1">
      <c r="A202" s="178">
        <v>520440</v>
      </c>
      <c r="B202" s="178">
        <v>51002730</v>
      </c>
      <c r="D202" s="201" t="s">
        <v>596</v>
      </c>
      <c r="E202" s="180" t="s">
        <v>370</v>
      </c>
      <c r="F202" s="202">
        <v>-6000</v>
      </c>
      <c r="G202" s="203"/>
      <c r="H202" s="203"/>
      <c r="I202" s="203"/>
      <c r="J202" s="203"/>
      <c r="K202" s="216"/>
      <c r="L202" s="203"/>
      <c r="M202" s="203"/>
      <c r="N202" s="203"/>
      <c r="O202" s="203"/>
      <c r="P202" s="203"/>
      <c r="Q202" s="203"/>
      <c r="R202" s="205">
        <v>-6000</v>
      </c>
      <c r="S202" s="180"/>
      <c r="T202" s="220">
        <v>0</v>
      </c>
      <c r="U202" s="221">
        <v>0</v>
      </c>
      <c r="V202" s="221">
        <v>0</v>
      </c>
      <c r="W202" s="221">
        <v>0</v>
      </c>
      <c r="X202" s="221">
        <v>0</v>
      </c>
      <c r="Y202" s="221">
        <v>0</v>
      </c>
      <c r="Z202" s="221">
        <v>0</v>
      </c>
      <c r="AA202" s="221">
        <v>0</v>
      </c>
      <c r="AB202" s="221">
        <v>0</v>
      </c>
      <c r="AC202" s="221">
        <v>0</v>
      </c>
      <c r="AD202" s="221">
        <v>0</v>
      </c>
      <c r="AE202" s="221">
        <v>0</v>
      </c>
      <c r="AF202" s="218">
        <v>0</v>
      </c>
      <c r="AG202" s="180"/>
      <c r="AH202" s="202">
        <v>-25</v>
      </c>
      <c r="AI202" s="203"/>
      <c r="AJ202" s="203"/>
      <c r="AK202" s="203"/>
      <c r="AL202" s="203"/>
      <c r="AM202" s="216"/>
      <c r="AN202" s="203"/>
      <c r="AO202" s="203"/>
      <c r="AP202" s="203"/>
      <c r="AQ202" s="203">
        <v>-6600</v>
      </c>
      <c r="AR202" s="203"/>
      <c r="AS202" s="203"/>
      <c r="AT202" s="205">
        <v>-6625</v>
      </c>
      <c r="AU202" s="180"/>
      <c r="AV202" s="180"/>
    </row>
    <row r="203" spans="1:48" ht="13.5" hidden="1" customHeight="1">
      <c r="A203" s="178">
        <v>520450</v>
      </c>
      <c r="B203" s="178">
        <v>51002750</v>
      </c>
      <c r="D203" s="201" t="s">
        <v>597</v>
      </c>
      <c r="E203" s="180" t="s">
        <v>370</v>
      </c>
      <c r="F203" s="202"/>
      <c r="G203" s="203"/>
      <c r="H203" s="203"/>
      <c r="I203" s="203"/>
      <c r="J203" s="203"/>
      <c r="K203" s="216"/>
      <c r="L203" s="203"/>
      <c r="M203" s="203"/>
      <c r="N203" s="203"/>
      <c r="O203" s="203"/>
      <c r="P203" s="203"/>
      <c r="Q203" s="203"/>
      <c r="R203" s="205">
        <v>0</v>
      </c>
      <c r="S203" s="180"/>
      <c r="T203" s="220">
        <v>-336.95749999999998</v>
      </c>
      <c r="U203" s="221">
        <v>-336.95749999999998</v>
      </c>
      <c r="V203" s="221">
        <v>-336.95749999999998</v>
      </c>
      <c r="W203" s="221">
        <v>-336.95749999999998</v>
      </c>
      <c r="X203" s="221">
        <v>-336.95749999999998</v>
      </c>
      <c r="Y203" s="221">
        <v>-336.95749999999998</v>
      </c>
      <c r="Z203" s="221">
        <v>-336.95749999999998</v>
      </c>
      <c r="AA203" s="221">
        <v>-336.95749999999998</v>
      </c>
      <c r="AB203" s="221">
        <v>-336.95749999999998</v>
      </c>
      <c r="AC203" s="221">
        <v>-336.95749999999998</v>
      </c>
      <c r="AD203" s="221">
        <v>-336.95749999999998</v>
      </c>
      <c r="AE203" s="221">
        <v>-336.95749999999998</v>
      </c>
      <c r="AF203" s="218">
        <v>-1010.8724999999999</v>
      </c>
      <c r="AG203" s="180"/>
      <c r="AH203" s="202">
        <v>-3008</v>
      </c>
      <c r="AI203" s="203">
        <v>-3008</v>
      </c>
      <c r="AJ203" s="203"/>
      <c r="AK203" s="203"/>
      <c r="AL203" s="203"/>
      <c r="AM203" s="216"/>
      <c r="AN203" s="203"/>
      <c r="AO203" s="203"/>
      <c r="AP203" s="203"/>
      <c r="AQ203" s="203"/>
      <c r="AR203" s="203">
        <v>-3000</v>
      </c>
      <c r="AS203" s="203"/>
      <c r="AT203" s="205">
        <v>-9016</v>
      </c>
      <c r="AU203" s="180"/>
      <c r="AV203" s="180"/>
    </row>
    <row r="204" spans="1:48" ht="13.5" hidden="1" customHeight="1">
      <c r="A204" s="178">
        <v>520460</v>
      </c>
      <c r="B204" s="178">
        <v>51002810</v>
      </c>
      <c r="D204" s="201" t="s">
        <v>598</v>
      </c>
      <c r="E204" s="180" t="s">
        <v>370</v>
      </c>
      <c r="F204" s="202"/>
      <c r="G204" s="203"/>
      <c r="H204" s="203"/>
      <c r="I204" s="203"/>
      <c r="J204" s="203"/>
      <c r="K204" s="216"/>
      <c r="L204" s="203"/>
      <c r="M204" s="203"/>
      <c r="N204" s="203"/>
      <c r="O204" s="203"/>
      <c r="P204" s="203"/>
      <c r="Q204" s="203"/>
      <c r="R204" s="205">
        <v>0</v>
      </c>
      <c r="S204" s="180"/>
      <c r="T204" s="220">
        <v>0</v>
      </c>
      <c r="U204" s="221">
        <v>0</v>
      </c>
      <c r="V204" s="221">
        <v>0</v>
      </c>
      <c r="W204" s="221">
        <v>0</v>
      </c>
      <c r="X204" s="221">
        <v>0</v>
      </c>
      <c r="Y204" s="221">
        <v>0</v>
      </c>
      <c r="Z204" s="221">
        <v>0</v>
      </c>
      <c r="AA204" s="221">
        <v>0</v>
      </c>
      <c r="AB204" s="221">
        <v>0</v>
      </c>
      <c r="AC204" s="221">
        <v>0</v>
      </c>
      <c r="AD204" s="221">
        <v>0</v>
      </c>
      <c r="AE204" s="221">
        <v>0</v>
      </c>
      <c r="AF204" s="218">
        <v>0</v>
      </c>
      <c r="AG204" s="180"/>
      <c r="AH204" s="202"/>
      <c r="AI204" s="203"/>
      <c r="AJ204" s="203">
        <v>-1341.78</v>
      </c>
      <c r="AK204" s="203">
        <v>-2713.06</v>
      </c>
      <c r="AL204" s="203"/>
      <c r="AM204" s="216">
        <v>-817.4</v>
      </c>
      <c r="AN204" s="203"/>
      <c r="AO204" s="203"/>
      <c r="AP204" s="203"/>
      <c r="AQ204" s="203"/>
      <c r="AR204" s="203"/>
      <c r="AS204" s="203"/>
      <c r="AT204" s="205">
        <v>-4872.24</v>
      </c>
      <c r="AU204" s="180"/>
      <c r="AV204" s="180"/>
    </row>
    <row r="205" spans="1:48" ht="13.5" hidden="1" customHeight="1">
      <c r="A205" s="178">
        <v>520470</v>
      </c>
      <c r="B205" s="178">
        <v>51002920</v>
      </c>
      <c r="D205" s="201" t="s">
        <v>599</v>
      </c>
      <c r="E205" s="180" t="s">
        <v>370</v>
      </c>
      <c r="F205" s="202"/>
      <c r="G205" s="203"/>
      <c r="H205" s="203"/>
      <c r="I205" s="203"/>
      <c r="J205" s="203"/>
      <c r="K205" s="216"/>
      <c r="L205" s="203"/>
      <c r="M205" s="203"/>
      <c r="N205" s="203"/>
      <c r="O205" s="203"/>
      <c r="P205" s="203"/>
      <c r="Q205" s="203"/>
      <c r="R205" s="205">
        <v>0</v>
      </c>
      <c r="S205" s="180"/>
      <c r="T205" s="220">
        <v>0</v>
      </c>
      <c r="U205" s="221">
        <v>0</v>
      </c>
      <c r="V205" s="221">
        <v>0</v>
      </c>
      <c r="W205" s="221">
        <v>0</v>
      </c>
      <c r="X205" s="221">
        <v>0</v>
      </c>
      <c r="Y205" s="221">
        <v>0</v>
      </c>
      <c r="Z205" s="221">
        <v>0</v>
      </c>
      <c r="AA205" s="221">
        <v>0</v>
      </c>
      <c r="AB205" s="221">
        <v>0</v>
      </c>
      <c r="AC205" s="221">
        <v>0</v>
      </c>
      <c r="AD205" s="221">
        <v>0</v>
      </c>
      <c r="AE205" s="221">
        <v>0</v>
      </c>
      <c r="AF205" s="218">
        <v>0</v>
      </c>
      <c r="AG205" s="180"/>
      <c r="AH205" s="202"/>
      <c r="AI205" s="203"/>
      <c r="AJ205" s="203">
        <v>-1275.6600000000001</v>
      </c>
      <c r="AK205" s="203"/>
      <c r="AL205" s="203"/>
      <c r="AM205" s="216"/>
      <c r="AN205" s="203"/>
      <c r="AO205" s="203"/>
      <c r="AP205" s="203"/>
      <c r="AQ205" s="203"/>
      <c r="AR205" s="203">
        <v>-669.56</v>
      </c>
      <c r="AS205" s="203"/>
      <c r="AT205" s="205">
        <v>-1945.22</v>
      </c>
      <c r="AU205" s="180"/>
      <c r="AV205" s="180"/>
    </row>
    <row r="206" spans="1:48" ht="13.5" hidden="1" customHeight="1">
      <c r="A206" s="178">
        <v>520480</v>
      </c>
      <c r="B206" s="178"/>
      <c r="D206" s="201" t="s">
        <v>600</v>
      </c>
      <c r="E206" s="180" t="s">
        <v>370</v>
      </c>
      <c r="F206" s="202"/>
      <c r="G206" s="203"/>
      <c r="H206" s="203"/>
      <c r="I206" s="203"/>
      <c r="J206" s="203"/>
      <c r="K206" s="216"/>
      <c r="L206" s="203"/>
      <c r="M206" s="203"/>
      <c r="N206" s="203"/>
      <c r="O206" s="203"/>
      <c r="P206" s="203"/>
      <c r="Q206" s="203"/>
      <c r="R206" s="205">
        <v>0</v>
      </c>
      <c r="S206" s="180"/>
      <c r="T206" s="220">
        <v>0</v>
      </c>
      <c r="U206" s="221">
        <v>0</v>
      </c>
      <c r="V206" s="221">
        <v>0</v>
      </c>
      <c r="W206" s="221">
        <v>0</v>
      </c>
      <c r="X206" s="221">
        <v>0</v>
      </c>
      <c r="Y206" s="221">
        <v>0</v>
      </c>
      <c r="Z206" s="221">
        <v>0</v>
      </c>
      <c r="AA206" s="221">
        <v>0</v>
      </c>
      <c r="AB206" s="221">
        <v>0</v>
      </c>
      <c r="AC206" s="221">
        <v>0</v>
      </c>
      <c r="AD206" s="221">
        <v>0</v>
      </c>
      <c r="AE206" s="221">
        <v>0</v>
      </c>
      <c r="AF206" s="218">
        <v>0</v>
      </c>
      <c r="AG206" s="180"/>
      <c r="AH206" s="202"/>
      <c r="AI206" s="203"/>
      <c r="AJ206" s="203"/>
      <c r="AK206" s="203"/>
      <c r="AL206" s="203"/>
      <c r="AM206" s="216"/>
      <c r="AN206" s="203"/>
      <c r="AO206" s="203"/>
      <c r="AP206" s="203"/>
      <c r="AQ206" s="203"/>
      <c r="AR206" s="203"/>
      <c r="AS206" s="203"/>
      <c r="AT206" s="205">
        <v>0</v>
      </c>
      <c r="AU206" s="180"/>
      <c r="AV206" s="180"/>
    </row>
    <row r="207" spans="1:48" ht="13.5" hidden="1" customHeight="1">
      <c r="A207" s="178">
        <v>520490</v>
      </c>
      <c r="B207" s="178"/>
      <c r="D207" s="201" t="s">
        <v>601</v>
      </c>
      <c r="E207" s="180" t="s">
        <v>370</v>
      </c>
      <c r="F207" s="202"/>
      <c r="G207" s="203"/>
      <c r="H207" s="203"/>
      <c r="I207" s="203"/>
      <c r="J207" s="203"/>
      <c r="K207" s="216"/>
      <c r="L207" s="203"/>
      <c r="M207" s="203"/>
      <c r="N207" s="203"/>
      <c r="O207" s="203"/>
      <c r="P207" s="203"/>
      <c r="Q207" s="203"/>
      <c r="R207" s="205">
        <v>0</v>
      </c>
      <c r="S207" s="180"/>
      <c r="T207" s="220">
        <v>0</v>
      </c>
      <c r="U207" s="221">
        <v>0</v>
      </c>
      <c r="V207" s="221">
        <v>0</v>
      </c>
      <c r="W207" s="221">
        <v>0</v>
      </c>
      <c r="X207" s="221">
        <v>0</v>
      </c>
      <c r="Y207" s="221">
        <v>0</v>
      </c>
      <c r="Z207" s="221">
        <v>0</v>
      </c>
      <c r="AA207" s="221">
        <v>0</v>
      </c>
      <c r="AB207" s="221">
        <v>0</v>
      </c>
      <c r="AC207" s="221">
        <v>0</v>
      </c>
      <c r="AD207" s="221">
        <v>0</v>
      </c>
      <c r="AE207" s="221">
        <v>0</v>
      </c>
      <c r="AF207" s="218">
        <v>0</v>
      </c>
      <c r="AG207" s="180"/>
      <c r="AH207" s="202"/>
      <c r="AI207" s="203"/>
      <c r="AJ207" s="203"/>
      <c r="AK207" s="203"/>
      <c r="AL207" s="203"/>
      <c r="AM207" s="216"/>
      <c r="AN207" s="203"/>
      <c r="AO207" s="203"/>
      <c r="AP207" s="203"/>
      <c r="AQ207" s="203"/>
      <c r="AR207" s="203"/>
      <c r="AS207" s="203"/>
      <c r="AT207" s="205">
        <v>0</v>
      </c>
      <c r="AU207" s="180"/>
      <c r="AV207" s="180"/>
    </row>
    <row r="208" spans="1:48" ht="13.5" hidden="1" customHeight="1">
      <c r="A208" s="178">
        <v>520500</v>
      </c>
      <c r="B208" s="178"/>
      <c r="D208" s="201" t="s">
        <v>602</v>
      </c>
      <c r="E208" s="180" t="s">
        <v>370</v>
      </c>
      <c r="F208" s="202"/>
      <c r="G208" s="203"/>
      <c r="H208" s="203"/>
      <c r="I208" s="203"/>
      <c r="J208" s="203"/>
      <c r="K208" s="216"/>
      <c r="L208" s="203"/>
      <c r="M208" s="203"/>
      <c r="N208" s="203"/>
      <c r="O208" s="203"/>
      <c r="P208" s="203"/>
      <c r="Q208" s="203"/>
      <c r="R208" s="205">
        <v>0</v>
      </c>
      <c r="S208" s="180"/>
      <c r="T208" s="220">
        <v>0</v>
      </c>
      <c r="U208" s="221">
        <v>0</v>
      </c>
      <c r="V208" s="221">
        <v>0</v>
      </c>
      <c r="W208" s="221">
        <v>0</v>
      </c>
      <c r="X208" s="221">
        <v>0</v>
      </c>
      <c r="Y208" s="221">
        <v>0</v>
      </c>
      <c r="Z208" s="221">
        <v>0</v>
      </c>
      <c r="AA208" s="221">
        <v>0</v>
      </c>
      <c r="AB208" s="221">
        <v>0</v>
      </c>
      <c r="AC208" s="221">
        <v>0</v>
      </c>
      <c r="AD208" s="221">
        <v>0</v>
      </c>
      <c r="AE208" s="221">
        <v>0</v>
      </c>
      <c r="AF208" s="218">
        <v>0</v>
      </c>
      <c r="AG208" s="180"/>
      <c r="AH208" s="202"/>
      <c r="AI208" s="203"/>
      <c r="AJ208" s="203"/>
      <c r="AK208" s="203"/>
      <c r="AL208" s="203"/>
      <c r="AM208" s="216"/>
      <c r="AN208" s="203"/>
      <c r="AO208" s="203"/>
      <c r="AP208" s="203"/>
      <c r="AQ208" s="203"/>
      <c r="AR208" s="203"/>
      <c r="AS208" s="203"/>
      <c r="AT208" s="205">
        <v>0</v>
      </c>
      <c r="AU208" s="180"/>
      <c r="AV208" s="180"/>
    </row>
    <row r="209" spans="1:48" ht="13.5" hidden="1" customHeight="1">
      <c r="A209" s="178">
        <v>520510</v>
      </c>
      <c r="B209" s="178"/>
      <c r="D209" s="201" t="s">
        <v>603</v>
      </c>
      <c r="E209" s="180" t="s">
        <v>370</v>
      </c>
      <c r="F209" s="202"/>
      <c r="G209" s="203"/>
      <c r="H209" s="203"/>
      <c r="I209" s="203"/>
      <c r="J209" s="203"/>
      <c r="K209" s="216"/>
      <c r="L209" s="203"/>
      <c r="M209" s="203"/>
      <c r="N209" s="203"/>
      <c r="O209" s="203"/>
      <c r="P209" s="203"/>
      <c r="Q209" s="203"/>
      <c r="R209" s="205">
        <v>0</v>
      </c>
      <c r="S209" s="180"/>
      <c r="T209" s="220">
        <v>0</v>
      </c>
      <c r="U209" s="221">
        <v>0</v>
      </c>
      <c r="V209" s="221">
        <v>0</v>
      </c>
      <c r="W209" s="221">
        <v>0</v>
      </c>
      <c r="X209" s="221">
        <v>0</v>
      </c>
      <c r="Y209" s="221">
        <v>0</v>
      </c>
      <c r="Z209" s="221">
        <v>0</v>
      </c>
      <c r="AA209" s="221">
        <v>0</v>
      </c>
      <c r="AB209" s="221">
        <v>0</v>
      </c>
      <c r="AC209" s="221">
        <v>0</v>
      </c>
      <c r="AD209" s="221">
        <v>0</v>
      </c>
      <c r="AE209" s="221">
        <v>0</v>
      </c>
      <c r="AF209" s="218">
        <v>0</v>
      </c>
      <c r="AG209" s="180"/>
      <c r="AH209" s="202"/>
      <c r="AI209" s="203"/>
      <c r="AJ209" s="203"/>
      <c r="AK209" s="203"/>
      <c r="AL209" s="203"/>
      <c r="AM209" s="216"/>
      <c r="AN209" s="203"/>
      <c r="AO209" s="203"/>
      <c r="AP209" s="203"/>
      <c r="AQ209" s="203"/>
      <c r="AR209" s="203"/>
      <c r="AS209" s="203"/>
      <c r="AT209" s="205">
        <v>0</v>
      </c>
      <c r="AU209" s="180"/>
      <c r="AV209" s="180"/>
    </row>
    <row r="210" spans="1:48" ht="13.5" hidden="1" customHeight="1">
      <c r="A210" s="178">
        <v>520520</v>
      </c>
      <c r="B210" s="178"/>
      <c r="D210" s="201" t="s">
        <v>604</v>
      </c>
      <c r="E210" s="180" t="s">
        <v>370</v>
      </c>
      <c r="F210" s="202"/>
      <c r="G210" s="203"/>
      <c r="H210" s="203"/>
      <c r="I210" s="203"/>
      <c r="J210" s="203"/>
      <c r="K210" s="216"/>
      <c r="L210" s="203"/>
      <c r="M210" s="203"/>
      <c r="N210" s="203"/>
      <c r="O210" s="203"/>
      <c r="P210" s="203"/>
      <c r="Q210" s="203"/>
      <c r="R210" s="205">
        <v>0</v>
      </c>
      <c r="S210" s="180"/>
      <c r="T210" s="220">
        <v>0</v>
      </c>
      <c r="U210" s="221">
        <v>0</v>
      </c>
      <c r="V210" s="221">
        <v>0</v>
      </c>
      <c r="W210" s="221">
        <v>0</v>
      </c>
      <c r="X210" s="221">
        <v>0</v>
      </c>
      <c r="Y210" s="221">
        <v>0</v>
      </c>
      <c r="Z210" s="221">
        <v>0</v>
      </c>
      <c r="AA210" s="221">
        <v>0</v>
      </c>
      <c r="AB210" s="221">
        <v>0</v>
      </c>
      <c r="AC210" s="221">
        <v>0</v>
      </c>
      <c r="AD210" s="221">
        <v>0</v>
      </c>
      <c r="AE210" s="221">
        <v>0</v>
      </c>
      <c r="AF210" s="218">
        <v>0</v>
      </c>
      <c r="AG210" s="180"/>
      <c r="AH210" s="202"/>
      <c r="AI210" s="203"/>
      <c r="AJ210" s="203"/>
      <c r="AK210" s="203"/>
      <c r="AL210" s="203"/>
      <c r="AM210" s="216"/>
      <c r="AN210" s="203"/>
      <c r="AO210" s="203"/>
      <c r="AP210" s="203"/>
      <c r="AQ210" s="203"/>
      <c r="AR210" s="203"/>
      <c r="AS210" s="203"/>
      <c r="AT210" s="205">
        <v>0</v>
      </c>
      <c r="AU210" s="180"/>
      <c r="AV210" s="180"/>
    </row>
    <row r="211" spans="1:48" ht="13.5" hidden="1" customHeight="1">
      <c r="A211" s="178">
        <v>520530</v>
      </c>
      <c r="B211" s="178"/>
      <c r="D211" s="201" t="s">
        <v>605</v>
      </c>
      <c r="E211" s="180" t="s">
        <v>370</v>
      </c>
      <c r="F211" s="202"/>
      <c r="G211" s="203"/>
      <c r="H211" s="203"/>
      <c r="I211" s="203"/>
      <c r="J211" s="203"/>
      <c r="K211" s="216"/>
      <c r="L211" s="203"/>
      <c r="M211" s="203"/>
      <c r="N211" s="203"/>
      <c r="O211" s="203"/>
      <c r="P211" s="203"/>
      <c r="Q211" s="203"/>
      <c r="R211" s="205">
        <v>0</v>
      </c>
      <c r="S211" s="180"/>
      <c r="T211" s="220">
        <v>0</v>
      </c>
      <c r="U211" s="221">
        <v>0</v>
      </c>
      <c r="V211" s="221">
        <v>0</v>
      </c>
      <c r="W211" s="221">
        <v>0</v>
      </c>
      <c r="X211" s="221">
        <v>0</v>
      </c>
      <c r="Y211" s="221">
        <v>0</v>
      </c>
      <c r="Z211" s="221">
        <v>0</v>
      </c>
      <c r="AA211" s="221">
        <v>0</v>
      </c>
      <c r="AB211" s="221">
        <v>0</v>
      </c>
      <c r="AC211" s="221">
        <v>0</v>
      </c>
      <c r="AD211" s="221">
        <v>0</v>
      </c>
      <c r="AE211" s="221">
        <v>0</v>
      </c>
      <c r="AF211" s="218">
        <v>0</v>
      </c>
      <c r="AG211" s="180"/>
      <c r="AH211" s="202"/>
      <c r="AI211" s="203"/>
      <c r="AJ211" s="203"/>
      <c r="AK211" s="203"/>
      <c r="AL211" s="203"/>
      <c r="AM211" s="216"/>
      <c r="AN211" s="203"/>
      <c r="AO211" s="203"/>
      <c r="AP211" s="203"/>
      <c r="AQ211" s="203"/>
      <c r="AR211" s="203"/>
      <c r="AS211" s="203"/>
      <c r="AT211" s="205">
        <v>0</v>
      </c>
      <c r="AU211" s="180"/>
      <c r="AV211" s="180"/>
    </row>
    <row r="212" spans="1:48" ht="13.5" hidden="1" customHeight="1">
      <c r="A212" s="178">
        <v>520540</v>
      </c>
      <c r="B212" s="178"/>
      <c r="D212" s="201" t="s">
        <v>606</v>
      </c>
      <c r="E212" s="180" t="s">
        <v>370</v>
      </c>
      <c r="F212" s="202"/>
      <c r="G212" s="203"/>
      <c r="H212" s="203"/>
      <c r="I212" s="203"/>
      <c r="J212" s="203"/>
      <c r="K212" s="216"/>
      <c r="L212" s="203"/>
      <c r="M212" s="203"/>
      <c r="N212" s="203"/>
      <c r="O212" s="203"/>
      <c r="P212" s="203"/>
      <c r="Q212" s="203"/>
      <c r="R212" s="205">
        <v>0</v>
      </c>
      <c r="S212" s="180"/>
      <c r="T212" s="220">
        <v>0</v>
      </c>
      <c r="U212" s="221">
        <v>0</v>
      </c>
      <c r="V212" s="221">
        <v>0</v>
      </c>
      <c r="W212" s="221">
        <v>0</v>
      </c>
      <c r="X212" s="221">
        <v>0</v>
      </c>
      <c r="Y212" s="221">
        <v>0</v>
      </c>
      <c r="Z212" s="221">
        <v>0</v>
      </c>
      <c r="AA212" s="221">
        <v>0</v>
      </c>
      <c r="AB212" s="221">
        <v>0</v>
      </c>
      <c r="AC212" s="221">
        <v>0</v>
      </c>
      <c r="AD212" s="221">
        <v>0</v>
      </c>
      <c r="AE212" s="221">
        <v>0</v>
      </c>
      <c r="AF212" s="218">
        <v>0</v>
      </c>
      <c r="AG212" s="180"/>
      <c r="AH212" s="202"/>
      <c r="AI212" s="203"/>
      <c r="AJ212" s="203"/>
      <c r="AK212" s="203"/>
      <c r="AL212" s="203"/>
      <c r="AM212" s="216"/>
      <c r="AN212" s="203"/>
      <c r="AO212" s="203"/>
      <c r="AP212" s="203"/>
      <c r="AQ212" s="203"/>
      <c r="AR212" s="203"/>
      <c r="AS212" s="203"/>
      <c r="AT212" s="205">
        <v>0</v>
      </c>
      <c r="AU212" s="180"/>
      <c r="AV212" s="180"/>
    </row>
    <row r="213" spans="1:48" ht="13.5" hidden="1" customHeight="1">
      <c r="A213" s="178">
        <v>520550</v>
      </c>
      <c r="B213" s="178"/>
      <c r="D213" s="201" t="s">
        <v>607</v>
      </c>
      <c r="E213" s="180" t="s">
        <v>370</v>
      </c>
      <c r="F213" s="202"/>
      <c r="G213" s="203"/>
      <c r="H213" s="203"/>
      <c r="I213" s="203"/>
      <c r="J213" s="203"/>
      <c r="K213" s="216"/>
      <c r="L213" s="203"/>
      <c r="M213" s="203"/>
      <c r="N213" s="203"/>
      <c r="O213" s="203"/>
      <c r="P213" s="203"/>
      <c r="Q213" s="203"/>
      <c r="R213" s="205">
        <v>0</v>
      </c>
      <c r="S213" s="180"/>
      <c r="T213" s="220">
        <v>0</v>
      </c>
      <c r="U213" s="221">
        <v>0</v>
      </c>
      <c r="V213" s="221">
        <v>0</v>
      </c>
      <c r="W213" s="221">
        <v>0</v>
      </c>
      <c r="X213" s="221">
        <v>0</v>
      </c>
      <c r="Y213" s="221">
        <v>0</v>
      </c>
      <c r="Z213" s="221">
        <v>0</v>
      </c>
      <c r="AA213" s="221">
        <v>0</v>
      </c>
      <c r="AB213" s="221">
        <v>0</v>
      </c>
      <c r="AC213" s="221">
        <v>0</v>
      </c>
      <c r="AD213" s="221">
        <v>0</v>
      </c>
      <c r="AE213" s="221">
        <v>0</v>
      </c>
      <c r="AF213" s="218">
        <v>0</v>
      </c>
      <c r="AG213" s="180"/>
      <c r="AH213" s="202"/>
      <c r="AI213" s="203"/>
      <c r="AJ213" s="203"/>
      <c r="AK213" s="203"/>
      <c r="AL213" s="203"/>
      <c r="AM213" s="216"/>
      <c r="AN213" s="203"/>
      <c r="AO213" s="203"/>
      <c r="AP213" s="203"/>
      <c r="AQ213" s="203"/>
      <c r="AR213" s="203"/>
      <c r="AS213" s="203"/>
      <c r="AT213" s="205">
        <v>0</v>
      </c>
      <c r="AU213" s="180"/>
      <c r="AV213" s="180"/>
    </row>
    <row r="214" spans="1:48" ht="13.5" hidden="1" customHeight="1">
      <c r="A214" s="178">
        <v>520560</v>
      </c>
      <c r="B214" s="178"/>
      <c r="D214" s="201" t="s">
        <v>608</v>
      </c>
      <c r="E214" s="180" t="s">
        <v>370</v>
      </c>
      <c r="F214" s="202"/>
      <c r="G214" s="203"/>
      <c r="H214" s="203"/>
      <c r="I214" s="203"/>
      <c r="J214" s="203"/>
      <c r="K214" s="216"/>
      <c r="L214" s="203"/>
      <c r="M214" s="203"/>
      <c r="N214" s="203"/>
      <c r="O214" s="203"/>
      <c r="P214" s="203"/>
      <c r="Q214" s="203"/>
      <c r="R214" s="205">
        <v>0</v>
      </c>
      <c r="S214" s="180"/>
      <c r="T214" s="220">
        <v>0</v>
      </c>
      <c r="U214" s="221">
        <v>0</v>
      </c>
      <c r="V214" s="221">
        <v>0</v>
      </c>
      <c r="W214" s="221">
        <v>0</v>
      </c>
      <c r="X214" s="221">
        <v>0</v>
      </c>
      <c r="Y214" s="221">
        <v>0</v>
      </c>
      <c r="Z214" s="221">
        <v>0</v>
      </c>
      <c r="AA214" s="221">
        <v>0</v>
      </c>
      <c r="AB214" s="221">
        <v>0</v>
      </c>
      <c r="AC214" s="221">
        <v>0</v>
      </c>
      <c r="AD214" s="221">
        <v>0</v>
      </c>
      <c r="AE214" s="221">
        <v>0</v>
      </c>
      <c r="AF214" s="218">
        <v>0</v>
      </c>
      <c r="AG214" s="180"/>
      <c r="AH214" s="202"/>
      <c r="AI214" s="203"/>
      <c r="AJ214" s="203"/>
      <c r="AK214" s="203"/>
      <c r="AL214" s="203"/>
      <c r="AM214" s="216"/>
      <c r="AN214" s="203"/>
      <c r="AO214" s="203"/>
      <c r="AP214" s="203"/>
      <c r="AQ214" s="203"/>
      <c r="AR214" s="203"/>
      <c r="AS214" s="203"/>
      <c r="AT214" s="205">
        <v>0</v>
      </c>
      <c r="AU214" s="180"/>
      <c r="AV214" s="180"/>
    </row>
    <row r="215" spans="1:48" ht="13.5" hidden="1" customHeight="1">
      <c r="A215" s="178">
        <v>530110</v>
      </c>
      <c r="B215" s="178">
        <v>51002190</v>
      </c>
      <c r="D215" s="201" t="s">
        <v>609</v>
      </c>
      <c r="E215" s="180" t="s">
        <v>370</v>
      </c>
      <c r="F215" s="202"/>
      <c r="G215" s="203"/>
      <c r="H215" s="203"/>
      <c r="I215" s="203"/>
      <c r="J215" s="203"/>
      <c r="K215" s="216"/>
      <c r="L215" s="203"/>
      <c r="M215" s="203"/>
      <c r="N215" s="203"/>
      <c r="O215" s="203"/>
      <c r="P215" s="203"/>
      <c r="Q215" s="203"/>
      <c r="R215" s="205">
        <v>0</v>
      </c>
      <c r="S215" s="180"/>
      <c r="T215" s="220">
        <v>0</v>
      </c>
      <c r="U215" s="221">
        <v>0</v>
      </c>
      <c r="V215" s="221">
        <v>0</v>
      </c>
      <c r="W215" s="221">
        <v>0</v>
      </c>
      <c r="X215" s="221">
        <v>0</v>
      </c>
      <c r="Y215" s="221">
        <v>0</v>
      </c>
      <c r="Z215" s="221">
        <v>0</v>
      </c>
      <c r="AA215" s="221">
        <v>0</v>
      </c>
      <c r="AB215" s="221">
        <v>0</v>
      </c>
      <c r="AC215" s="221">
        <v>0</v>
      </c>
      <c r="AD215" s="221">
        <v>0</v>
      </c>
      <c r="AE215" s="221">
        <v>0</v>
      </c>
      <c r="AF215" s="218">
        <v>0</v>
      </c>
      <c r="AG215" s="180"/>
      <c r="AH215" s="202"/>
      <c r="AI215" s="203"/>
      <c r="AJ215" s="203"/>
      <c r="AK215" s="203"/>
      <c r="AL215" s="203"/>
      <c r="AM215" s="216"/>
      <c r="AN215" s="203"/>
      <c r="AO215" s="203"/>
      <c r="AP215" s="203"/>
      <c r="AQ215" s="203"/>
      <c r="AR215" s="203"/>
      <c r="AS215" s="203"/>
      <c r="AT215" s="205">
        <v>0</v>
      </c>
      <c r="AU215" s="180"/>
      <c r="AV215" s="180"/>
    </row>
    <row r="216" spans="1:48" ht="13.5" hidden="1" customHeight="1">
      <c r="A216" s="178">
        <v>530120</v>
      </c>
      <c r="B216" s="178">
        <v>51006130</v>
      </c>
      <c r="D216" s="201" t="s">
        <v>610</v>
      </c>
      <c r="E216" s="180" t="s">
        <v>370</v>
      </c>
      <c r="F216" s="202"/>
      <c r="G216" s="203"/>
      <c r="H216" s="203"/>
      <c r="I216" s="203"/>
      <c r="J216" s="203"/>
      <c r="K216" s="216"/>
      <c r="L216" s="203"/>
      <c r="M216" s="203"/>
      <c r="N216" s="203"/>
      <c r="O216" s="203"/>
      <c r="P216" s="203"/>
      <c r="Q216" s="203"/>
      <c r="R216" s="205">
        <v>0</v>
      </c>
      <c r="S216" s="180"/>
      <c r="T216" s="220">
        <v>0</v>
      </c>
      <c r="U216" s="221">
        <v>0</v>
      </c>
      <c r="V216" s="221">
        <v>0</v>
      </c>
      <c r="W216" s="221">
        <v>0</v>
      </c>
      <c r="X216" s="221">
        <v>0</v>
      </c>
      <c r="Y216" s="221">
        <v>0</v>
      </c>
      <c r="Z216" s="221">
        <v>0</v>
      </c>
      <c r="AA216" s="221">
        <v>0</v>
      </c>
      <c r="AB216" s="221">
        <v>0</v>
      </c>
      <c r="AC216" s="221">
        <v>0</v>
      </c>
      <c r="AD216" s="221">
        <v>0</v>
      </c>
      <c r="AE216" s="221">
        <v>0</v>
      </c>
      <c r="AF216" s="218">
        <v>0</v>
      </c>
      <c r="AG216" s="180"/>
      <c r="AH216" s="202"/>
      <c r="AI216" s="203"/>
      <c r="AJ216" s="203"/>
      <c r="AK216" s="203"/>
      <c r="AL216" s="203"/>
      <c r="AM216" s="216"/>
      <c r="AN216" s="203"/>
      <c r="AO216" s="203"/>
      <c r="AP216" s="203"/>
      <c r="AQ216" s="203"/>
      <c r="AR216" s="203"/>
      <c r="AS216" s="203"/>
      <c r="AT216" s="205">
        <v>0</v>
      </c>
      <c r="AU216" s="180"/>
      <c r="AV216" s="180"/>
    </row>
    <row r="217" spans="1:48" ht="13.5" hidden="1" customHeight="1">
      <c r="A217" s="178">
        <v>530130</v>
      </c>
      <c r="B217" s="178"/>
      <c r="D217" s="201" t="s">
        <v>611</v>
      </c>
      <c r="E217" s="180" t="s">
        <v>370</v>
      </c>
      <c r="F217" s="202"/>
      <c r="G217" s="203"/>
      <c r="H217" s="203"/>
      <c r="I217" s="203"/>
      <c r="J217" s="203"/>
      <c r="K217" s="216"/>
      <c r="L217" s="203"/>
      <c r="M217" s="203"/>
      <c r="N217" s="203"/>
      <c r="O217" s="203"/>
      <c r="P217" s="203"/>
      <c r="Q217" s="203"/>
      <c r="R217" s="205">
        <v>0</v>
      </c>
      <c r="S217" s="180"/>
      <c r="T217" s="220">
        <v>0</v>
      </c>
      <c r="U217" s="221">
        <v>0</v>
      </c>
      <c r="V217" s="221">
        <v>0</v>
      </c>
      <c r="W217" s="221">
        <v>0</v>
      </c>
      <c r="X217" s="221">
        <v>0</v>
      </c>
      <c r="Y217" s="221">
        <v>0</v>
      </c>
      <c r="Z217" s="221">
        <v>0</v>
      </c>
      <c r="AA217" s="221">
        <v>0</v>
      </c>
      <c r="AB217" s="221">
        <v>0</v>
      </c>
      <c r="AC217" s="221">
        <v>0</v>
      </c>
      <c r="AD217" s="221">
        <v>0</v>
      </c>
      <c r="AE217" s="221">
        <v>0</v>
      </c>
      <c r="AF217" s="218">
        <v>0</v>
      </c>
      <c r="AG217" s="180"/>
      <c r="AH217" s="202"/>
      <c r="AI217" s="203"/>
      <c r="AJ217" s="203"/>
      <c r="AK217" s="203"/>
      <c r="AL217" s="203"/>
      <c r="AM217" s="216"/>
      <c r="AN217" s="203"/>
      <c r="AO217" s="203"/>
      <c r="AP217" s="203"/>
      <c r="AQ217" s="203"/>
      <c r="AR217" s="203"/>
      <c r="AS217" s="203"/>
      <c r="AT217" s="205">
        <v>0</v>
      </c>
      <c r="AU217" s="180"/>
      <c r="AV217" s="180"/>
    </row>
    <row r="218" spans="1:48" ht="13.5" hidden="1" customHeight="1">
      <c r="A218" s="178">
        <v>530140</v>
      </c>
      <c r="B218" s="178"/>
      <c r="D218" s="201" t="s">
        <v>612</v>
      </c>
      <c r="E218" s="180" t="s">
        <v>370</v>
      </c>
      <c r="F218" s="202"/>
      <c r="G218" s="203"/>
      <c r="H218" s="203"/>
      <c r="I218" s="203"/>
      <c r="J218" s="203"/>
      <c r="K218" s="216"/>
      <c r="L218" s="203"/>
      <c r="M218" s="203"/>
      <c r="N218" s="203"/>
      <c r="O218" s="203"/>
      <c r="P218" s="203"/>
      <c r="Q218" s="203"/>
      <c r="R218" s="205">
        <v>0</v>
      </c>
      <c r="S218" s="180"/>
      <c r="T218" s="220"/>
      <c r="U218" s="221">
        <v>0</v>
      </c>
      <c r="V218" s="221">
        <v>0</v>
      </c>
      <c r="W218" s="221">
        <v>0</v>
      </c>
      <c r="X218" s="221">
        <v>0</v>
      </c>
      <c r="Y218" s="221">
        <v>0</v>
      </c>
      <c r="Z218" s="221">
        <v>0</v>
      </c>
      <c r="AA218" s="221">
        <v>0</v>
      </c>
      <c r="AB218" s="221">
        <v>0</v>
      </c>
      <c r="AC218" s="221">
        <v>0</v>
      </c>
      <c r="AD218" s="221">
        <v>0</v>
      </c>
      <c r="AE218" s="221">
        <v>0</v>
      </c>
      <c r="AF218" s="218">
        <v>0</v>
      </c>
      <c r="AG218" s="180"/>
      <c r="AH218" s="202"/>
      <c r="AI218" s="203"/>
      <c r="AJ218" s="203"/>
      <c r="AK218" s="203"/>
      <c r="AL218" s="203"/>
      <c r="AM218" s="216"/>
      <c r="AN218" s="203"/>
      <c r="AO218" s="203"/>
      <c r="AP218" s="203"/>
      <c r="AQ218" s="203"/>
      <c r="AR218" s="203"/>
      <c r="AS218" s="203"/>
      <c r="AT218" s="205">
        <v>0</v>
      </c>
      <c r="AU218" s="180"/>
      <c r="AV218" s="180"/>
    </row>
    <row r="219" spans="1:48" ht="13.5" hidden="1" customHeight="1">
      <c r="A219" s="178">
        <v>530150</v>
      </c>
      <c r="B219" s="178"/>
      <c r="D219" s="201" t="s">
        <v>613</v>
      </c>
      <c r="E219" s="180" t="s">
        <v>370</v>
      </c>
      <c r="F219" s="202"/>
      <c r="G219" s="203"/>
      <c r="H219" s="203"/>
      <c r="I219" s="203"/>
      <c r="J219" s="203"/>
      <c r="K219" s="216"/>
      <c r="L219" s="203"/>
      <c r="M219" s="203"/>
      <c r="N219" s="203"/>
      <c r="O219" s="203"/>
      <c r="P219" s="203"/>
      <c r="Q219" s="203"/>
      <c r="R219" s="205">
        <v>0</v>
      </c>
      <c r="S219" s="180"/>
      <c r="T219" s="220">
        <v>0</v>
      </c>
      <c r="U219" s="221">
        <v>0</v>
      </c>
      <c r="V219" s="221">
        <v>0</v>
      </c>
      <c r="W219" s="221">
        <v>0</v>
      </c>
      <c r="X219" s="221">
        <v>0</v>
      </c>
      <c r="Y219" s="221">
        <v>0</v>
      </c>
      <c r="Z219" s="221">
        <v>0</v>
      </c>
      <c r="AA219" s="221">
        <v>0</v>
      </c>
      <c r="AB219" s="221">
        <v>0</v>
      </c>
      <c r="AC219" s="221">
        <v>0</v>
      </c>
      <c r="AD219" s="221">
        <v>0</v>
      </c>
      <c r="AE219" s="221">
        <v>0</v>
      </c>
      <c r="AF219" s="218">
        <v>0</v>
      </c>
      <c r="AG219" s="180"/>
      <c r="AH219" s="202"/>
      <c r="AI219" s="203"/>
      <c r="AJ219" s="203"/>
      <c r="AK219" s="203"/>
      <c r="AL219" s="203"/>
      <c r="AM219" s="216"/>
      <c r="AN219" s="203"/>
      <c r="AO219" s="203"/>
      <c r="AP219" s="203"/>
      <c r="AQ219" s="203"/>
      <c r="AR219" s="203"/>
      <c r="AS219" s="203"/>
      <c r="AT219" s="205">
        <v>0</v>
      </c>
      <c r="AU219" s="180"/>
      <c r="AV219" s="180"/>
    </row>
    <row r="220" spans="1:48" ht="13.5" hidden="1" customHeight="1">
      <c r="A220" s="178">
        <v>540110</v>
      </c>
      <c r="B220" s="178">
        <v>51007110</v>
      </c>
      <c r="D220" s="201" t="s">
        <v>614</v>
      </c>
      <c r="E220" s="180" t="s">
        <v>370</v>
      </c>
      <c r="F220" s="202"/>
      <c r="G220" s="203"/>
      <c r="H220" s="203"/>
      <c r="I220" s="203"/>
      <c r="J220" s="203"/>
      <c r="K220" s="216"/>
      <c r="L220" s="203"/>
      <c r="M220" s="203"/>
      <c r="N220" s="203"/>
      <c r="O220" s="203"/>
      <c r="P220" s="203"/>
      <c r="Q220" s="203"/>
      <c r="R220" s="205">
        <v>0</v>
      </c>
      <c r="S220" s="180"/>
      <c r="T220" s="220"/>
      <c r="U220" s="221">
        <v>0</v>
      </c>
      <c r="V220" s="221">
        <v>0</v>
      </c>
      <c r="W220" s="221">
        <v>0</v>
      </c>
      <c r="X220" s="221">
        <v>0</v>
      </c>
      <c r="Y220" s="221">
        <v>0</v>
      </c>
      <c r="Z220" s="221">
        <v>0</v>
      </c>
      <c r="AA220" s="221">
        <v>0</v>
      </c>
      <c r="AB220" s="221">
        <v>0</v>
      </c>
      <c r="AC220" s="221">
        <v>0</v>
      </c>
      <c r="AD220" s="221">
        <v>0</v>
      </c>
      <c r="AE220" s="221">
        <v>0</v>
      </c>
      <c r="AF220" s="218">
        <v>0</v>
      </c>
      <c r="AG220" s="180"/>
      <c r="AH220" s="202"/>
      <c r="AI220" s="203"/>
      <c r="AJ220" s="203"/>
      <c r="AK220" s="203"/>
      <c r="AL220" s="203"/>
      <c r="AM220" s="216"/>
      <c r="AN220" s="203"/>
      <c r="AO220" s="203"/>
      <c r="AP220" s="203"/>
      <c r="AQ220" s="203"/>
      <c r="AR220" s="203"/>
      <c r="AS220" s="203"/>
      <c r="AT220" s="205">
        <v>0</v>
      </c>
      <c r="AU220" s="180"/>
      <c r="AV220" s="180"/>
    </row>
    <row r="221" spans="1:48" ht="13.5" hidden="1" customHeight="1">
      <c r="A221" s="178">
        <v>540115</v>
      </c>
      <c r="B221" s="178">
        <v>51007115</v>
      </c>
      <c r="D221" s="201" t="s">
        <v>615</v>
      </c>
      <c r="E221" s="180" t="s">
        <v>370</v>
      </c>
      <c r="F221" s="202">
        <v>-23.67</v>
      </c>
      <c r="G221" s="203">
        <v>-23.67</v>
      </c>
      <c r="H221" s="203">
        <v>-23.67</v>
      </c>
      <c r="I221" s="203"/>
      <c r="J221" s="203"/>
      <c r="K221" s="216"/>
      <c r="L221" s="203"/>
      <c r="M221" s="203"/>
      <c r="N221" s="203"/>
      <c r="O221" s="203"/>
      <c r="P221" s="203"/>
      <c r="Q221" s="203"/>
      <c r="R221" s="205">
        <v>-71.010000000000005</v>
      </c>
      <c r="S221" s="180"/>
      <c r="T221" s="220">
        <v>-23.67</v>
      </c>
      <c r="U221" s="221">
        <v>-23.67</v>
      </c>
      <c r="V221" s="221">
        <v>-23.67</v>
      </c>
      <c r="W221" s="221">
        <v>-23.67</v>
      </c>
      <c r="X221" s="221">
        <v>-23.67</v>
      </c>
      <c r="Y221" s="221">
        <v>-23.67</v>
      </c>
      <c r="Z221" s="221">
        <v>-23.67</v>
      </c>
      <c r="AA221" s="221">
        <v>-23.67</v>
      </c>
      <c r="AB221" s="221">
        <v>-23.67</v>
      </c>
      <c r="AC221" s="221">
        <v>-23.67</v>
      </c>
      <c r="AD221" s="221">
        <v>-23.67</v>
      </c>
      <c r="AE221" s="221">
        <v>-23.67</v>
      </c>
      <c r="AF221" s="218">
        <v>-71.010000000000005</v>
      </c>
      <c r="AG221" s="180"/>
      <c r="AH221" s="202">
        <v>-23.67</v>
      </c>
      <c r="AI221" s="203">
        <v>-23.67</v>
      </c>
      <c r="AJ221" s="203">
        <v>-23.67</v>
      </c>
      <c r="AK221" s="203">
        <v>-23.67</v>
      </c>
      <c r="AL221" s="203">
        <v>-23.67</v>
      </c>
      <c r="AM221" s="216">
        <v>-23.67</v>
      </c>
      <c r="AN221" s="203">
        <v>-23.67</v>
      </c>
      <c r="AO221" s="203">
        <v>-23.67</v>
      </c>
      <c r="AP221" s="203">
        <v>-23.67</v>
      </c>
      <c r="AQ221" s="203">
        <v>-23.67</v>
      </c>
      <c r="AR221" s="203">
        <v>-23.67</v>
      </c>
      <c r="AS221" s="203">
        <v>-23.67</v>
      </c>
      <c r="AT221" s="205">
        <v>-284.04000000000002</v>
      </c>
      <c r="AU221" s="180"/>
      <c r="AV221" s="180"/>
    </row>
    <row r="222" spans="1:48" ht="13.5" hidden="1" customHeight="1">
      <c r="A222" s="178">
        <v>540118</v>
      </c>
      <c r="B222" s="178">
        <v>51007118</v>
      </c>
      <c r="D222" s="201" t="s">
        <v>616</v>
      </c>
      <c r="E222" s="180" t="s">
        <v>370</v>
      </c>
      <c r="F222" s="202"/>
      <c r="G222" s="203"/>
      <c r="H222" s="203"/>
      <c r="I222" s="203"/>
      <c r="J222" s="203"/>
      <c r="K222" s="216"/>
      <c r="L222" s="203"/>
      <c r="M222" s="203"/>
      <c r="N222" s="203"/>
      <c r="O222" s="203"/>
      <c r="P222" s="203"/>
      <c r="Q222" s="203"/>
      <c r="R222" s="205">
        <v>0</v>
      </c>
      <c r="S222" s="180"/>
      <c r="T222" s="220"/>
      <c r="U222" s="221">
        <v>0</v>
      </c>
      <c r="V222" s="221">
        <v>0</v>
      </c>
      <c r="W222" s="221">
        <v>0</v>
      </c>
      <c r="X222" s="221">
        <v>0</v>
      </c>
      <c r="Y222" s="221">
        <v>0</v>
      </c>
      <c r="Z222" s="221">
        <v>0</v>
      </c>
      <c r="AA222" s="221">
        <v>0</v>
      </c>
      <c r="AB222" s="221">
        <v>0</v>
      </c>
      <c r="AC222" s="221">
        <v>0</v>
      </c>
      <c r="AD222" s="221">
        <v>0</v>
      </c>
      <c r="AE222" s="221">
        <v>0</v>
      </c>
      <c r="AF222" s="218">
        <v>0</v>
      </c>
      <c r="AG222" s="180"/>
      <c r="AH222" s="202"/>
      <c r="AI222" s="203"/>
      <c r="AJ222" s="203"/>
      <c r="AK222" s="203"/>
      <c r="AL222" s="203"/>
      <c r="AM222" s="216"/>
      <c r="AN222" s="203"/>
      <c r="AO222" s="203"/>
      <c r="AP222" s="203"/>
      <c r="AQ222" s="203"/>
      <c r="AR222" s="203"/>
      <c r="AS222" s="203"/>
      <c r="AT222" s="205">
        <v>0</v>
      </c>
      <c r="AU222" s="180"/>
      <c r="AV222" s="180"/>
    </row>
    <row r="223" spans="1:48" ht="13.5" hidden="1" customHeight="1">
      <c r="A223" s="178">
        <v>540120</v>
      </c>
      <c r="B223" s="178">
        <v>51007120</v>
      </c>
      <c r="D223" s="201" t="s">
        <v>617</v>
      </c>
      <c r="E223" s="180" t="s">
        <v>370</v>
      </c>
      <c r="F223" s="202">
        <v>-4058.21</v>
      </c>
      <c r="G223" s="203">
        <v>-4058.21</v>
      </c>
      <c r="H223" s="203">
        <v>-4058.21</v>
      </c>
      <c r="I223" s="203"/>
      <c r="J223" s="203"/>
      <c r="K223" s="216"/>
      <c r="L223" s="203"/>
      <c r="M223" s="203"/>
      <c r="N223" s="203"/>
      <c r="O223" s="203"/>
      <c r="P223" s="203"/>
      <c r="Q223" s="203"/>
      <c r="R223" s="205">
        <v>-12174.63</v>
      </c>
      <c r="S223" s="180"/>
      <c r="T223" s="220">
        <v>-4058.21</v>
      </c>
      <c r="U223" s="221">
        <v>-4058.21</v>
      </c>
      <c r="V223" s="221">
        <v>-4058.21</v>
      </c>
      <c r="W223" s="221">
        <v>-4058.21</v>
      </c>
      <c r="X223" s="221">
        <v>-4058.21</v>
      </c>
      <c r="Y223" s="221">
        <v>-4058.21</v>
      </c>
      <c r="Z223" s="221">
        <v>-4058.21</v>
      </c>
      <c r="AA223" s="221">
        <v>-4058.21</v>
      </c>
      <c r="AB223" s="221">
        <v>-4058.21</v>
      </c>
      <c r="AC223" s="221">
        <v>-4058.21</v>
      </c>
      <c r="AD223" s="221">
        <v>-4058.21</v>
      </c>
      <c r="AE223" s="221">
        <v>-4058.21</v>
      </c>
      <c r="AF223" s="218">
        <v>-12174.63</v>
      </c>
      <c r="AG223" s="180"/>
      <c r="AH223" s="202">
        <v>-4058.21</v>
      </c>
      <c r="AI223" s="203">
        <v>-4058.21</v>
      </c>
      <c r="AJ223" s="203">
        <v>-4058.21</v>
      </c>
      <c r="AK223" s="203">
        <v>-4058.21</v>
      </c>
      <c r="AL223" s="203">
        <v>-4058.21</v>
      </c>
      <c r="AM223" s="216">
        <v>-4058.21</v>
      </c>
      <c r="AN223" s="203">
        <v>-4058.21</v>
      </c>
      <c r="AO223" s="203">
        <v>-4058.21</v>
      </c>
      <c r="AP223" s="203">
        <v>-4058.21</v>
      </c>
      <c r="AQ223" s="203">
        <v>-4058.21</v>
      </c>
      <c r="AR223" s="203">
        <v>-4058.21</v>
      </c>
      <c r="AS223" s="203">
        <v>-4058.21</v>
      </c>
      <c r="AT223" s="205">
        <v>-48698.52</v>
      </c>
      <c r="AU223" s="180"/>
      <c r="AV223" s="180"/>
    </row>
    <row r="224" spans="1:48" ht="13.5" hidden="1" customHeight="1">
      <c r="A224" s="178">
        <v>540123</v>
      </c>
      <c r="B224" s="178">
        <v>51007123</v>
      </c>
      <c r="D224" s="201" t="s">
        <v>618</v>
      </c>
      <c r="E224" s="180" t="s">
        <v>370</v>
      </c>
      <c r="F224" s="202"/>
      <c r="G224" s="203"/>
      <c r="H224" s="203"/>
      <c r="I224" s="203"/>
      <c r="J224" s="203"/>
      <c r="K224" s="216"/>
      <c r="L224" s="203"/>
      <c r="M224" s="203"/>
      <c r="N224" s="203"/>
      <c r="O224" s="203"/>
      <c r="P224" s="203"/>
      <c r="Q224" s="203"/>
      <c r="R224" s="205">
        <v>0</v>
      </c>
      <c r="S224" s="180"/>
      <c r="T224" s="220"/>
      <c r="U224" s="221">
        <v>0</v>
      </c>
      <c r="V224" s="221">
        <v>0</v>
      </c>
      <c r="W224" s="221">
        <v>0</v>
      </c>
      <c r="X224" s="221">
        <v>0</v>
      </c>
      <c r="Y224" s="221">
        <v>0</v>
      </c>
      <c r="Z224" s="221">
        <v>0</v>
      </c>
      <c r="AA224" s="221">
        <v>0</v>
      </c>
      <c r="AB224" s="221">
        <v>0</v>
      </c>
      <c r="AC224" s="221">
        <v>0</v>
      </c>
      <c r="AD224" s="221">
        <v>0</v>
      </c>
      <c r="AE224" s="221">
        <v>0</v>
      </c>
      <c r="AF224" s="218">
        <v>0</v>
      </c>
      <c r="AG224" s="180"/>
      <c r="AH224" s="202"/>
      <c r="AI224" s="203"/>
      <c r="AJ224" s="203"/>
      <c r="AK224" s="203"/>
      <c r="AL224" s="203"/>
      <c r="AM224" s="216"/>
      <c r="AN224" s="203"/>
      <c r="AO224" s="203"/>
      <c r="AP224" s="203"/>
      <c r="AQ224" s="203"/>
      <c r="AR224" s="203"/>
      <c r="AS224" s="203"/>
      <c r="AT224" s="205">
        <v>0</v>
      </c>
      <c r="AU224" s="180"/>
      <c r="AV224" s="180"/>
    </row>
    <row r="225" spans="1:48" ht="13.5" hidden="1" customHeight="1">
      <c r="A225" s="178">
        <v>540125</v>
      </c>
      <c r="B225" s="178">
        <v>51007125</v>
      </c>
      <c r="D225" s="201" t="s">
        <v>619</v>
      </c>
      <c r="E225" s="180" t="s">
        <v>370</v>
      </c>
      <c r="F225" s="202"/>
      <c r="G225" s="203"/>
      <c r="H225" s="203"/>
      <c r="I225" s="203"/>
      <c r="J225" s="203"/>
      <c r="K225" s="216"/>
      <c r="L225" s="203"/>
      <c r="M225" s="203"/>
      <c r="N225" s="203"/>
      <c r="O225" s="203"/>
      <c r="P225" s="203"/>
      <c r="Q225" s="203"/>
      <c r="R225" s="205">
        <v>0</v>
      </c>
      <c r="S225" s="180"/>
      <c r="T225" s="220"/>
      <c r="U225" s="221">
        <v>0</v>
      </c>
      <c r="V225" s="221">
        <v>0</v>
      </c>
      <c r="W225" s="221">
        <v>0</v>
      </c>
      <c r="X225" s="221">
        <v>0</v>
      </c>
      <c r="Y225" s="221">
        <v>0</v>
      </c>
      <c r="Z225" s="221">
        <v>0</v>
      </c>
      <c r="AA225" s="221">
        <v>0</v>
      </c>
      <c r="AB225" s="221">
        <v>0</v>
      </c>
      <c r="AC225" s="221">
        <v>0</v>
      </c>
      <c r="AD225" s="221">
        <v>0</v>
      </c>
      <c r="AE225" s="221">
        <v>0</v>
      </c>
      <c r="AF225" s="218">
        <v>0</v>
      </c>
      <c r="AG225" s="180"/>
      <c r="AH225" s="202"/>
      <c r="AI225" s="203"/>
      <c r="AJ225" s="203"/>
      <c r="AK225" s="203"/>
      <c r="AL225" s="203"/>
      <c r="AM225" s="216"/>
      <c r="AN225" s="203"/>
      <c r="AO225" s="203"/>
      <c r="AP225" s="203"/>
      <c r="AQ225" s="203"/>
      <c r="AR225" s="203"/>
      <c r="AS225" s="203"/>
      <c r="AT225" s="205">
        <v>0</v>
      </c>
      <c r="AU225" s="180"/>
      <c r="AV225" s="180"/>
    </row>
    <row r="226" spans="1:48" ht="13.5" hidden="1" customHeight="1">
      <c r="A226" s="178">
        <v>540130</v>
      </c>
      <c r="B226" s="178">
        <v>51007130</v>
      </c>
      <c r="D226" s="201" t="s">
        <v>620</v>
      </c>
      <c r="E226" s="180" t="s">
        <v>370</v>
      </c>
      <c r="F226" s="202">
        <v>-745.78</v>
      </c>
      <c r="G226" s="203">
        <v>-745.62</v>
      </c>
      <c r="H226" s="203">
        <v>-745.62</v>
      </c>
      <c r="I226" s="203"/>
      <c r="J226" s="203"/>
      <c r="K226" s="216"/>
      <c r="L226" s="203"/>
      <c r="M226" s="203"/>
      <c r="N226" s="203"/>
      <c r="O226" s="203"/>
      <c r="P226" s="203"/>
      <c r="Q226" s="203"/>
      <c r="R226" s="205">
        <v>-2237.02</v>
      </c>
      <c r="S226" s="180"/>
      <c r="T226" s="220">
        <v>-881.64</v>
      </c>
      <c r="U226" s="221">
        <v>-881.64</v>
      </c>
      <c r="V226" s="221">
        <v>-881.64</v>
      </c>
      <c r="W226" s="221">
        <v>-881.64</v>
      </c>
      <c r="X226" s="221">
        <v>-881.64</v>
      </c>
      <c r="Y226" s="221">
        <v>-881.64</v>
      </c>
      <c r="Z226" s="221">
        <v>-881.64</v>
      </c>
      <c r="AA226" s="221">
        <v>-881.64</v>
      </c>
      <c r="AB226" s="221">
        <v>-881.64</v>
      </c>
      <c r="AC226" s="221">
        <v>-881.64</v>
      </c>
      <c r="AD226" s="221">
        <v>-881.64</v>
      </c>
      <c r="AE226" s="221">
        <v>-881.64</v>
      </c>
      <c r="AF226" s="218">
        <v>-2644.92</v>
      </c>
      <c r="AG226" s="180"/>
      <c r="AH226" s="202">
        <v>-1232.06</v>
      </c>
      <c r="AI226" s="203">
        <v>-1232.06</v>
      </c>
      <c r="AJ226" s="203">
        <v>-1232.06</v>
      </c>
      <c r="AK226" s="203">
        <v>-1232.06</v>
      </c>
      <c r="AL226" s="203">
        <v>-1232.06</v>
      </c>
      <c r="AM226" s="216">
        <v>-1232.06</v>
      </c>
      <c r="AN226" s="203">
        <v>-1232.06</v>
      </c>
      <c r="AO226" s="203">
        <v>-1232.06</v>
      </c>
      <c r="AP226" s="203">
        <v>-1232.06</v>
      </c>
      <c r="AQ226" s="203">
        <v>-1232.06</v>
      </c>
      <c r="AR226" s="203">
        <v>-1232.06</v>
      </c>
      <c r="AS226" s="203">
        <v>-1231.78</v>
      </c>
      <c r="AT226" s="205">
        <v>-14784.44</v>
      </c>
      <c r="AU226" s="180"/>
      <c r="AV226" s="180"/>
    </row>
    <row r="227" spans="1:48" ht="13.5" hidden="1" customHeight="1">
      <c r="A227" s="178">
        <v>540135</v>
      </c>
      <c r="B227" s="178">
        <v>51007135</v>
      </c>
      <c r="D227" s="201" t="s">
        <v>621</v>
      </c>
      <c r="E227" s="180" t="s">
        <v>370</v>
      </c>
      <c r="F227" s="202"/>
      <c r="G227" s="203"/>
      <c r="H227" s="203"/>
      <c r="I227" s="203"/>
      <c r="J227" s="203"/>
      <c r="K227" s="216"/>
      <c r="L227" s="203"/>
      <c r="M227" s="203"/>
      <c r="N227" s="203"/>
      <c r="O227" s="203"/>
      <c r="P227" s="203"/>
      <c r="Q227" s="203"/>
      <c r="R227" s="205">
        <v>0</v>
      </c>
      <c r="S227" s="180"/>
      <c r="T227" s="220"/>
      <c r="U227" s="221">
        <v>0</v>
      </c>
      <c r="V227" s="221">
        <v>0</v>
      </c>
      <c r="W227" s="221">
        <v>0</v>
      </c>
      <c r="X227" s="221">
        <v>0</v>
      </c>
      <c r="Y227" s="221">
        <v>0</v>
      </c>
      <c r="Z227" s="221">
        <v>0</v>
      </c>
      <c r="AA227" s="221">
        <v>0</v>
      </c>
      <c r="AB227" s="221">
        <v>0</v>
      </c>
      <c r="AC227" s="221">
        <v>0</v>
      </c>
      <c r="AD227" s="221">
        <v>0</v>
      </c>
      <c r="AE227" s="221">
        <v>0</v>
      </c>
      <c r="AF227" s="218">
        <v>0</v>
      </c>
      <c r="AG227" s="180"/>
      <c r="AH227" s="202"/>
      <c r="AI227" s="203"/>
      <c r="AJ227" s="203"/>
      <c r="AK227" s="203"/>
      <c r="AL227" s="203"/>
      <c r="AM227" s="216"/>
      <c r="AN227" s="203"/>
      <c r="AO227" s="203"/>
      <c r="AP227" s="203"/>
      <c r="AQ227" s="203"/>
      <c r="AR227" s="203"/>
      <c r="AS227" s="203"/>
      <c r="AT227" s="205">
        <v>0</v>
      </c>
      <c r="AU227" s="180"/>
      <c r="AV227" s="180"/>
    </row>
    <row r="228" spans="1:48" ht="13.5" hidden="1" customHeight="1">
      <c r="A228" s="178"/>
      <c r="B228" s="178"/>
      <c r="D228" s="201" t="s">
        <v>622</v>
      </c>
      <c r="E228" s="180"/>
      <c r="F228" s="202">
        <v>-26799.67</v>
      </c>
      <c r="G228" s="203">
        <v>-20776.419999999998</v>
      </c>
      <c r="H228" s="203">
        <v>-20776.419999999998</v>
      </c>
      <c r="I228" s="203"/>
      <c r="J228" s="203"/>
      <c r="K228" s="216"/>
      <c r="L228" s="203"/>
      <c r="M228" s="203"/>
      <c r="N228" s="203"/>
      <c r="O228" s="203"/>
      <c r="P228" s="203"/>
      <c r="Q228" s="203"/>
      <c r="R228" s="205">
        <v>-68352.509999999995</v>
      </c>
      <c r="S228" s="180"/>
      <c r="T228" s="220">
        <v>-35123.919999999998</v>
      </c>
      <c r="U228" s="221">
        <v>-35123.919999999998</v>
      </c>
      <c r="V228" s="221">
        <v>-35123.919999999998</v>
      </c>
      <c r="W228" s="221">
        <v>-35123.919999999998</v>
      </c>
      <c r="X228" s="221">
        <v>-35123.919999999998</v>
      </c>
      <c r="Y228" s="221">
        <v>-35123.919999999998</v>
      </c>
      <c r="Z228" s="221">
        <v>-35123.919999999998</v>
      </c>
      <c r="AA228" s="221">
        <v>-35123.919999999998</v>
      </c>
      <c r="AB228" s="221">
        <v>-35123.919999999998</v>
      </c>
      <c r="AC228" s="221">
        <v>-35123.919999999998</v>
      </c>
      <c r="AD228" s="221">
        <v>-35123.919999999998</v>
      </c>
      <c r="AE228" s="221">
        <v>-35123.919999999998</v>
      </c>
      <c r="AF228" s="218">
        <v>-105371.76</v>
      </c>
      <c r="AG228" s="180"/>
      <c r="AH228" s="202">
        <v>-87911.92</v>
      </c>
      <c r="AI228" s="203">
        <v>-87911.92</v>
      </c>
      <c r="AJ228" s="203">
        <v>-87911.92</v>
      </c>
      <c r="AK228" s="203">
        <v>-87911.92</v>
      </c>
      <c r="AL228" s="203">
        <v>-87911.92</v>
      </c>
      <c r="AM228" s="216">
        <v>-87911.92</v>
      </c>
      <c r="AN228" s="203">
        <v>-87911.92</v>
      </c>
      <c r="AO228" s="203">
        <v>-87911.92</v>
      </c>
      <c r="AP228" s="222">
        <v>-53193.67</v>
      </c>
      <c r="AQ228" s="203">
        <v>-53193.67</v>
      </c>
      <c r="AR228" s="203">
        <v>-41147.17</v>
      </c>
      <c r="AS228" s="203">
        <v>-41147.17</v>
      </c>
      <c r="AT228" s="205">
        <v>-891977.04</v>
      </c>
      <c r="AU228" s="180"/>
      <c r="AV228" s="180"/>
    </row>
    <row r="229" spans="1:48" ht="13.5" hidden="1" customHeight="1">
      <c r="A229" s="178">
        <v>540140</v>
      </c>
      <c r="B229" s="178">
        <v>51007140</v>
      </c>
      <c r="D229" s="201" t="s">
        <v>623</v>
      </c>
      <c r="E229" s="180" t="s">
        <v>370</v>
      </c>
      <c r="F229" s="202">
        <v>-384.25</v>
      </c>
      <c r="G229" s="203">
        <v>-384.25</v>
      </c>
      <c r="H229" s="203">
        <v>-384.25</v>
      </c>
      <c r="I229" s="203"/>
      <c r="J229" s="203"/>
      <c r="K229" s="216"/>
      <c r="L229" s="203"/>
      <c r="M229" s="203"/>
      <c r="N229" s="203"/>
      <c r="O229" s="203"/>
      <c r="P229" s="203"/>
      <c r="Q229" s="203"/>
      <c r="R229" s="205">
        <v>-1152.75</v>
      </c>
      <c r="S229" s="180"/>
      <c r="T229" s="220">
        <v>-384.25</v>
      </c>
      <c r="U229" s="221">
        <v>-384.25</v>
      </c>
      <c r="V229" s="221">
        <v>-384.25</v>
      </c>
      <c r="W229" s="221">
        <v>-384.25</v>
      </c>
      <c r="X229" s="221">
        <v>-384.25</v>
      </c>
      <c r="Y229" s="221">
        <v>-384.25</v>
      </c>
      <c r="Z229" s="221">
        <v>-384.25</v>
      </c>
      <c r="AA229" s="221">
        <v>-384.25</v>
      </c>
      <c r="AB229" s="221">
        <v>-384.25</v>
      </c>
      <c r="AC229" s="221">
        <v>-384.25</v>
      </c>
      <c r="AD229" s="221">
        <v>-384.25</v>
      </c>
      <c r="AE229" s="221">
        <v>-384.25</v>
      </c>
      <c r="AF229" s="218">
        <v>-1152.75</v>
      </c>
      <c r="AG229" s="180"/>
      <c r="AH229" s="202">
        <v>-384.25</v>
      </c>
      <c r="AI229" s="203">
        <v>-384.25</v>
      </c>
      <c r="AJ229" s="203">
        <v>-384.25</v>
      </c>
      <c r="AK229" s="203">
        <v>-384.25</v>
      </c>
      <c r="AL229" s="203">
        <v>-384.25</v>
      </c>
      <c r="AM229" s="216">
        <v>-384.25</v>
      </c>
      <c r="AN229" s="203">
        <v>-384.25</v>
      </c>
      <c r="AO229" s="203">
        <v>-384.25</v>
      </c>
      <c r="AP229" s="203">
        <v>-384.25</v>
      </c>
      <c r="AQ229" s="203">
        <v>-384.25</v>
      </c>
      <c r="AR229" s="203">
        <v>-384.25</v>
      </c>
      <c r="AS229" s="203">
        <v>-384.25</v>
      </c>
      <c r="AT229" s="205">
        <v>-4611</v>
      </c>
      <c r="AU229" s="180"/>
      <c r="AV229" s="180"/>
    </row>
    <row r="230" spans="1:48" ht="13.5" hidden="1" customHeight="1">
      <c r="A230" s="178">
        <v>540145</v>
      </c>
      <c r="B230" s="178"/>
      <c r="D230" s="201" t="s">
        <v>624</v>
      </c>
      <c r="E230" s="180" t="s">
        <v>370</v>
      </c>
      <c r="F230" s="202"/>
      <c r="G230" s="203"/>
      <c r="H230" s="203"/>
      <c r="I230" s="203"/>
      <c r="J230" s="203"/>
      <c r="K230" s="216"/>
      <c r="L230" s="203"/>
      <c r="M230" s="203"/>
      <c r="N230" s="203"/>
      <c r="O230" s="203"/>
      <c r="P230" s="203"/>
      <c r="Q230" s="203"/>
      <c r="R230" s="205">
        <v>0</v>
      </c>
      <c r="S230" s="180"/>
      <c r="T230" s="220"/>
      <c r="U230" s="221">
        <v>0</v>
      </c>
      <c r="V230" s="221">
        <v>0</v>
      </c>
      <c r="W230" s="221">
        <v>0</v>
      </c>
      <c r="X230" s="221">
        <v>0</v>
      </c>
      <c r="Y230" s="221">
        <v>0</v>
      </c>
      <c r="Z230" s="221">
        <v>0</v>
      </c>
      <c r="AA230" s="221">
        <v>0</v>
      </c>
      <c r="AB230" s="221">
        <v>0</v>
      </c>
      <c r="AC230" s="221">
        <v>0</v>
      </c>
      <c r="AD230" s="221">
        <v>0</v>
      </c>
      <c r="AE230" s="221">
        <v>0</v>
      </c>
      <c r="AF230" s="218">
        <v>0</v>
      </c>
      <c r="AG230" s="180"/>
      <c r="AH230" s="202"/>
      <c r="AI230" s="203"/>
      <c r="AJ230" s="203"/>
      <c r="AK230" s="203"/>
      <c r="AL230" s="203"/>
      <c r="AM230" s="216"/>
      <c r="AN230" s="203"/>
      <c r="AO230" s="203"/>
      <c r="AP230" s="203"/>
      <c r="AQ230" s="203"/>
      <c r="AR230" s="203"/>
      <c r="AS230" s="203"/>
      <c r="AT230" s="205">
        <v>0</v>
      </c>
      <c r="AU230" s="180"/>
      <c r="AV230" s="180"/>
    </row>
    <row r="231" spans="1:48" ht="13.5" hidden="1" customHeight="1">
      <c r="A231" s="178">
        <v>540150</v>
      </c>
      <c r="B231" s="178">
        <v>51007150</v>
      </c>
      <c r="D231" s="201" t="s">
        <v>625</v>
      </c>
      <c r="E231" s="180" t="s">
        <v>370</v>
      </c>
      <c r="F231" s="202"/>
      <c r="G231" s="203"/>
      <c r="H231" s="203"/>
      <c r="I231" s="203"/>
      <c r="J231" s="203"/>
      <c r="K231" s="216"/>
      <c r="L231" s="203"/>
      <c r="M231" s="203"/>
      <c r="N231" s="203"/>
      <c r="O231" s="203"/>
      <c r="P231" s="203"/>
      <c r="Q231" s="203"/>
      <c r="R231" s="205">
        <v>0</v>
      </c>
      <c r="S231" s="180"/>
      <c r="T231" s="220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18">
        <v>0</v>
      </c>
      <c r="AG231" s="180"/>
      <c r="AH231" s="202"/>
      <c r="AI231" s="203"/>
      <c r="AJ231" s="203"/>
      <c r="AK231" s="203"/>
      <c r="AL231" s="203"/>
      <c r="AM231" s="216"/>
      <c r="AN231" s="203"/>
      <c r="AO231" s="203"/>
      <c r="AP231" s="203"/>
      <c r="AQ231" s="203"/>
      <c r="AR231" s="203"/>
      <c r="AS231" s="203"/>
      <c r="AT231" s="205">
        <v>0</v>
      </c>
      <c r="AU231" s="180"/>
      <c r="AV231" s="180"/>
    </row>
    <row r="232" spans="1:48" ht="13.5" hidden="1" customHeight="1">
      <c r="A232" s="227"/>
      <c r="B232" s="227"/>
      <c r="D232" s="228" t="s">
        <v>626</v>
      </c>
      <c r="E232" s="229" t="s">
        <v>370</v>
      </c>
      <c r="F232" s="230">
        <v>-67781.67</v>
      </c>
      <c r="G232" s="231">
        <v>-32338.57</v>
      </c>
      <c r="H232" s="231">
        <v>-43574.42</v>
      </c>
      <c r="I232" s="231">
        <v>0</v>
      </c>
      <c r="J232" s="231">
        <v>0</v>
      </c>
      <c r="K232" s="231">
        <v>0</v>
      </c>
      <c r="L232" s="231">
        <v>0</v>
      </c>
      <c r="M232" s="231">
        <v>0</v>
      </c>
      <c r="N232" s="231">
        <v>0</v>
      </c>
      <c r="O232" s="231">
        <v>0</v>
      </c>
      <c r="P232" s="231">
        <v>0</v>
      </c>
      <c r="Q232" s="231">
        <v>0</v>
      </c>
      <c r="R232" s="232">
        <v>-143694.66</v>
      </c>
      <c r="S232" s="229"/>
      <c r="T232" s="230">
        <v>-60973.944166666697</v>
      </c>
      <c r="U232" s="231">
        <v>-60973.944166666697</v>
      </c>
      <c r="V232" s="231">
        <v>-60973.944166666697</v>
      </c>
      <c r="W232" s="231">
        <v>-60973.944166666697</v>
      </c>
      <c r="X232" s="231">
        <v>-60973.944166666697</v>
      </c>
      <c r="Y232" s="231">
        <v>-60973.944166666697</v>
      </c>
      <c r="Z232" s="231">
        <v>-63786.444166666697</v>
      </c>
      <c r="AA232" s="231">
        <v>-63786.444166666697</v>
      </c>
      <c r="AB232" s="231">
        <v>-63786.444166666697</v>
      </c>
      <c r="AC232" s="231">
        <v>-63786.444166666697</v>
      </c>
      <c r="AD232" s="231">
        <v>-63786.444166666697</v>
      </c>
      <c r="AE232" s="231">
        <v>-63786.444166666697</v>
      </c>
      <c r="AF232" s="232">
        <v>-182921.83249999999</v>
      </c>
      <c r="AG232" s="229"/>
      <c r="AH232" s="230">
        <v>-185845.15</v>
      </c>
      <c r="AI232" s="231">
        <v>-262143.76</v>
      </c>
      <c r="AJ232" s="231">
        <v>-299226.58</v>
      </c>
      <c r="AK232" s="231">
        <v>-197500.74</v>
      </c>
      <c r="AL232" s="231">
        <v>-189498.98</v>
      </c>
      <c r="AM232" s="231">
        <v>-176590.47</v>
      </c>
      <c r="AN232" s="231">
        <v>-163747.28</v>
      </c>
      <c r="AO232" s="231">
        <v>-204424.98</v>
      </c>
      <c r="AP232" s="231">
        <v>-82194.5</v>
      </c>
      <c r="AQ232" s="231">
        <v>-77004.210000000006</v>
      </c>
      <c r="AR232" s="231">
        <v>-75639.86</v>
      </c>
      <c r="AS232" s="231">
        <v>-67717.42</v>
      </c>
      <c r="AT232" s="232">
        <v>-1981533.93</v>
      </c>
      <c r="AU232" s="229"/>
      <c r="AV232" s="229"/>
    </row>
    <row r="233" spans="1:48" ht="13.5" hidden="1" customHeight="1">
      <c r="A233" s="178">
        <v>520110</v>
      </c>
      <c r="B233" s="178">
        <v>51002110</v>
      </c>
      <c r="D233" s="201" t="s">
        <v>627</v>
      </c>
      <c r="E233" s="180" t="s">
        <v>370</v>
      </c>
      <c r="F233" s="202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5">
        <v>0</v>
      </c>
      <c r="S233" s="180"/>
      <c r="T233" s="235"/>
      <c r="U233" s="236"/>
      <c r="V233" s="236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7">
        <v>0</v>
      </c>
      <c r="AG233" s="180"/>
      <c r="AH233" s="202"/>
      <c r="AI233" s="203"/>
      <c r="AJ233" s="203"/>
      <c r="AK233" s="203"/>
      <c r="AL233" s="203"/>
      <c r="AM233" s="203"/>
      <c r="AN233" s="203"/>
      <c r="AO233" s="203"/>
      <c r="AP233" s="203"/>
      <c r="AQ233" s="203"/>
      <c r="AR233" s="203"/>
      <c r="AS233" s="203"/>
      <c r="AT233" s="205">
        <v>0</v>
      </c>
      <c r="AU233" s="180"/>
      <c r="AV233" s="180"/>
    </row>
    <row r="234" spans="1:48" ht="13.5" hidden="1" customHeight="1">
      <c r="A234" s="178">
        <v>520120</v>
      </c>
      <c r="B234" s="178">
        <v>51002120</v>
      </c>
      <c r="D234" s="201" t="s">
        <v>628</v>
      </c>
      <c r="E234" s="180" t="s">
        <v>370</v>
      </c>
      <c r="F234" s="202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5">
        <v>0</v>
      </c>
      <c r="S234" s="180"/>
      <c r="T234" s="235"/>
      <c r="U234" s="236"/>
      <c r="V234" s="236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7">
        <v>0</v>
      </c>
      <c r="AG234" s="180"/>
      <c r="AH234" s="202"/>
      <c r="AI234" s="203"/>
      <c r="AJ234" s="203"/>
      <c r="AK234" s="203"/>
      <c r="AL234" s="203"/>
      <c r="AM234" s="203"/>
      <c r="AN234" s="203"/>
      <c r="AO234" s="203"/>
      <c r="AP234" s="203"/>
      <c r="AQ234" s="203"/>
      <c r="AR234" s="203"/>
      <c r="AS234" s="203"/>
      <c r="AT234" s="205">
        <v>0</v>
      </c>
      <c r="AU234" s="180"/>
      <c r="AV234" s="180"/>
    </row>
    <row r="235" spans="1:48" ht="13.5" hidden="1" customHeight="1">
      <c r="A235" s="178">
        <v>520130</v>
      </c>
      <c r="B235" s="178">
        <v>51002140</v>
      </c>
      <c r="D235" s="201" t="s">
        <v>629</v>
      </c>
      <c r="E235" s="180" t="s">
        <v>370</v>
      </c>
      <c r="F235" s="202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5">
        <v>0</v>
      </c>
      <c r="S235" s="180"/>
      <c r="T235" s="235"/>
      <c r="U235" s="236"/>
      <c r="V235" s="236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7">
        <v>0</v>
      </c>
      <c r="AG235" s="180"/>
      <c r="AH235" s="202"/>
      <c r="AI235" s="203"/>
      <c r="AJ235" s="203"/>
      <c r="AK235" s="203"/>
      <c r="AL235" s="203"/>
      <c r="AM235" s="203"/>
      <c r="AN235" s="203"/>
      <c r="AO235" s="203"/>
      <c r="AP235" s="203"/>
      <c r="AQ235" s="203"/>
      <c r="AR235" s="203"/>
      <c r="AS235" s="203"/>
      <c r="AT235" s="205">
        <v>0</v>
      </c>
      <c r="AU235" s="180"/>
      <c r="AV235" s="180"/>
    </row>
    <row r="236" spans="1:48" ht="13.5" hidden="1" customHeight="1">
      <c r="A236" s="178">
        <v>520140</v>
      </c>
      <c r="B236" s="178">
        <v>51002150</v>
      </c>
      <c r="D236" s="201" t="s">
        <v>630</v>
      </c>
      <c r="E236" s="180" t="s">
        <v>370</v>
      </c>
      <c r="F236" s="202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5">
        <v>0</v>
      </c>
      <c r="S236" s="180"/>
      <c r="T236" s="235"/>
      <c r="U236" s="236"/>
      <c r="V236" s="236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7">
        <v>0</v>
      </c>
      <c r="AG236" s="180"/>
      <c r="AH236" s="202"/>
      <c r="AI236" s="203"/>
      <c r="AJ236" s="203"/>
      <c r="AK236" s="203"/>
      <c r="AL236" s="203"/>
      <c r="AM236" s="203"/>
      <c r="AN236" s="203"/>
      <c r="AO236" s="203"/>
      <c r="AP236" s="203"/>
      <c r="AQ236" s="203"/>
      <c r="AR236" s="203"/>
      <c r="AS236" s="203"/>
      <c r="AT236" s="205">
        <v>0</v>
      </c>
      <c r="AU236" s="180"/>
      <c r="AV236" s="180"/>
    </row>
    <row r="237" spans="1:48" ht="13.5" hidden="1" customHeight="1">
      <c r="A237" s="178">
        <v>520150</v>
      </c>
      <c r="B237" s="178">
        <v>51002160</v>
      </c>
      <c r="D237" s="201" t="s">
        <v>631</v>
      </c>
      <c r="E237" s="180" t="s">
        <v>370</v>
      </c>
      <c r="F237" s="202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5">
        <v>0</v>
      </c>
      <c r="S237" s="180"/>
      <c r="T237" s="235"/>
      <c r="U237" s="236"/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7">
        <v>0</v>
      </c>
      <c r="AG237" s="180"/>
      <c r="AH237" s="202"/>
      <c r="AI237" s="203"/>
      <c r="AJ237" s="203"/>
      <c r="AK237" s="203"/>
      <c r="AL237" s="203"/>
      <c r="AM237" s="203"/>
      <c r="AN237" s="203"/>
      <c r="AO237" s="203"/>
      <c r="AP237" s="203"/>
      <c r="AQ237" s="203"/>
      <c r="AR237" s="203"/>
      <c r="AS237" s="203"/>
      <c r="AT237" s="205">
        <v>0</v>
      </c>
      <c r="AU237" s="180"/>
      <c r="AV237" s="180"/>
    </row>
    <row r="238" spans="1:48" ht="13.5" hidden="1" customHeight="1">
      <c r="A238" s="178">
        <v>520160</v>
      </c>
      <c r="B238" s="178">
        <v>51002170</v>
      </c>
      <c r="D238" s="201" t="s">
        <v>632</v>
      </c>
      <c r="E238" s="180" t="s">
        <v>370</v>
      </c>
      <c r="F238" s="202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5">
        <v>0</v>
      </c>
      <c r="S238" s="180"/>
      <c r="T238" s="235"/>
      <c r="U238" s="236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7">
        <v>0</v>
      </c>
      <c r="AG238" s="180"/>
      <c r="AH238" s="202"/>
      <c r="AI238" s="203"/>
      <c r="AJ238" s="203"/>
      <c r="AK238" s="203"/>
      <c r="AL238" s="203"/>
      <c r="AM238" s="203"/>
      <c r="AN238" s="203"/>
      <c r="AO238" s="203"/>
      <c r="AP238" s="203"/>
      <c r="AQ238" s="203"/>
      <c r="AR238" s="203"/>
      <c r="AS238" s="203"/>
      <c r="AT238" s="205">
        <v>0</v>
      </c>
      <c r="AU238" s="180"/>
      <c r="AV238" s="180"/>
    </row>
    <row r="239" spans="1:48" ht="13.5" hidden="1" customHeight="1">
      <c r="A239" s="178">
        <v>520170</v>
      </c>
      <c r="B239" s="178">
        <v>51002180</v>
      </c>
      <c r="D239" s="201" t="s">
        <v>633</v>
      </c>
      <c r="E239" s="180" t="s">
        <v>370</v>
      </c>
      <c r="F239" s="202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5">
        <v>0</v>
      </c>
      <c r="S239" s="180"/>
      <c r="T239" s="235"/>
      <c r="U239" s="236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7">
        <v>0</v>
      </c>
      <c r="AG239" s="180"/>
      <c r="AH239" s="202"/>
      <c r="AI239" s="203"/>
      <c r="AJ239" s="203"/>
      <c r="AK239" s="203"/>
      <c r="AL239" s="203"/>
      <c r="AM239" s="203"/>
      <c r="AN239" s="203"/>
      <c r="AO239" s="203"/>
      <c r="AP239" s="203"/>
      <c r="AQ239" s="203"/>
      <c r="AR239" s="203"/>
      <c r="AS239" s="203"/>
      <c r="AT239" s="205">
        <v>0</v>
      </c>
      <c r="AU239" s="180"/>
      <c r="AV239" s="180"/>
    </row>
    <row r="240" spans="1:48" ht="13.5" hidden="1" customHeight="1">
      <c r="A240" s="178">
        <v>520180</v>
      </c>
      <c r="B240" s="178">
        <v>51002200</v>
      </c>
      <c r="D240" s="201" t="s">
        <v>634</v>
      </c>
      <c r="E240" s="180" t="s">
        <v>370</v>
      </c>
      <c r="F240" s="202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5">
        <v>0</v>
      </c>
      <c r="S240" s="180"/>
      <c r="T240" s="235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7">
        <v>0</v>
      </c>
      <c r="AG240" s="180"/>
      <c r="AH240" s="202"/>
      <c r="AI240" s="203"/>
      <c r="AJ240" s="203"/>
      <c r="AK240" s="203"/>
      <c r="AL240" s="203"/>
      <c r="AM240" s="203"/>
      <c r="AN240" s="203"/>
      <c r="AO240" s="203"/>
      <c r="AP240" s="203"/>
      <c r="AQ240" s="203"/>
      <c r="AR240" s="203"/>
      <c r="AS240" s="203"/>
      <c r="AT240" s="205">
        <v>0</v>
      </c>
      <c r="AU240" s="180"/>
      <c r="AV240" s="180"/>
    </row>
    <row r="241" spans="1:48" ht="13.5" hidden="1" customHeight="1">
      <c r="A241" s="178"/>
      <c r="B241" s="178">
        <v>51002220</v>
      </c>
      <c r="D241" s="201" t="s">
        <v>568</v>
      </c>
      <c r="E241" s="180" t="s">
        <v>370</v>
      </c>
      <c r="F241" s="202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5">
        <v>0</v>
      </c>
      <c r="S241" s="180"/>
      <c r="T241" s="235"/>
      <c r="U241" s="236"/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7">
        <v>0</v>
      </c>
      <c r="AG241" s="180"/>
      <c r="AH241" s="202"/>
      <c r="AI241" s="203"/>
      <c r="AJ241" s="203"/>
      <c r="AK241" s="203"/>
      <c r="AL241" s="203"/>
      <c r="AM241" s="203"/>
      <c r="AN241" s="203"/>
      <c r="AO241" s="203"/>
      <c r="AP241" s="203"/>
      <c r="AQ241" s="203"/>
      <c r="AR241" s="203"/>
      <c r="AS241" s="203"/>
      <c r="AT241" s="205">
        <v>0</v>
      </c>
      <c r="AU241" s="180"/>
      <c r="AV241" s="180"/>
    </row>
    <row r="242" spans="1:48" ht="13.5" hidden="1" customHeight="1">
      <c r="A242" s="178">
        <v>520190</v>
      </c>
      <c r="B242" s="178">
        <v>51002230</v>
      </c>
      <c r="D242" s="201" t="s">
        <v>635</v>
      </c>
      <c r="E242" s="180" t="s">
        <v>370</v>
      </c>
      <c r="F242" s="202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5">
        <v>0</v>
      </c>
      <c r="S242" s="180"/>
      <c r="T242" s="235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7">
        <v>0</v>
      </c>
      <c r="AG242" s="180"/>
      <c r="AH242" s="202"/>
      <c r="AI242" s="203"/>
      <c r="AJ242" s="203"/>
      <c r="AK242" s="203"/>
      <c r="AL242" s="203"/>
      <c r="AM242" s="203"/>
      <c r="AN242" s="203"/>
      <c r="AO242" s="203"/>
      <c r="AP242" s="203"/>
      <c r="AQ242" s="203"/>
      <c r="AR242" s="203"/>
      <c r="AS242" s="203"/>
      <c r="AT242" s="205">
        <v>0</v>
      </c>
      <c r="AU242" s="180"/>
      <c r="AV242" s="180"/>
    </row>
    <row r="243" spans="1:48" ht="13.5" hidden="1" customHeight="1">
      <c r="A243" s="178">
        <v>520200</v>
      </c>
      <c r="B243" s="178">
        <v>51002240</v>
      </c>
      <c r="D243" s="201" t="s">
        <v>636</v>
      </c>
      <c r="E243" s="180" t="s">
        <v>370</v>
      </c>
      <c r="F243" s="202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5">
        <v>0</v>
      </c>
      <c r="S243" s="180"/>
      <c r="T243" s="235"/>
      <c r="U243" s="236"/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7">
        <v>0</v>
      </c>
      <c r="AG243" s="180"/>
      <c r="AH243" s="202"/>
      <c r="AI243" s="203"/>
      <c r="AJ243" s="203"/>
      <c r="AK243" s="203"/>
      <c r="AL243" s="203"/>
      <c r="AM243" s="203"/>
      <c r="AN243" s="203"/>
      <c r="AO243" s="203"/>
      <c r="AP243" s="203"/>
      <c r="AQ243" s="203"/>
      <c r="AR243" s="203"/>
      <c r="AS243" s="203"/>
      <c r="AT243" s="205">
        <v>0</v>
      </c>
      <c r="AU243" s="180"/>
      <c r="AV243" s="180"/>
    </row>
    <row r="244" spans="1:48" ht="13.5" hidden="1" customHeight="1">
      <c r="A244" s="178">
        <v>520210</v>
      </c>
      <c r="B244" s="178"/>
      <c r="D244" s="201" t="s">
        <v>637</v>
      </c>
      <c r="E244" s="180" t="s">
        <v>370</v>
      </c>
      <c r="F244" s="202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72"/>
      <c r="R244" s="205">
        <v>0</v>
      </c>
      <c r="S244" s="180"/>
      <c r="T244" s="235"/>
      <c r="U244" s="236"/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7">
        <v>0</v>
      </c>
      <c r="AG244" s="180"/>
      <c r="AH244" s="202"/>
      <c r="AI244" s="203"/>
      <c r="AJ244" s="203"/>
      <c r="AK244" s="203"/>
      <c r="AL244" s="203"/>
      <c r="AM244" s="203"/>
      <c r="AN244" s="203"/>
      <c r="AO244" s="203"/>
      <c r="AP244" s="203"/>
      <c r="AQ244" s="203"/>
      <c r="AR244" s="203"/>
      <c r="AS244" s="272"/>
      <c r="AT244" s="205">
        <v>0</v>
      </c>
      <c r="AU244" s="180"/>
      <c r="AV244" s="180"/>
    </row>
    <row r="245" spans="1:48" ht="13.5" hidden="1" customHeight="1">
      <c r="A245" s="178">
        <v>520220</v>
      </c>
      <c r="B245" s="178">
        <v>51002250</v>
      </c>
      <c r="D245" s="201" t="s">
        <v>638</v>
      </c>
      <c r="E245" s="180" t="s">
        <v>370</v>
      </c>
      <c r="F245" s="202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5">
        <v>0</v>
      </c>
      <c r="S245" s="180"/>
      <c r="T245" s="235"/>
      <c r="U245" s="236"/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7">
        <v>0</v>
      </c>
      <c r="AG245" s="180"/>
      <c r="AH245" s="202"/>
      <c r="AI245" s="203"/>
      <c r="AJ245" s="203"/>
      <c r="AK245" s="203"/>
      <c r="AL245" s="203"/>
      <c r="AM245" s="203"/>
      <c r="AN245" s="203"/>
      <c r="AO245" s="203"/>
      <c r="AP245" s="203"/>
      <c r="AQ245" s="203"/>
      <c r="AR245" s="203"/>
      <c r="AS245" s="203"/>
      <c r="AT245" s="205">
        <v>0</v>
      </c>
      <c r="AU245" s="180"/>
      <c r="AV245" s="180"/>
    </row>
    <row r="246" spans="1:48" ht="13.5" hidden="1" customHeight="1">
      <c r="A246" s="178">
        <v>520250</v>
      </c>
      <c r="B246" s="178">
        <v>51002260</v>
      </c>
      <c r="D246" s="201" t="s">
        <v>639</v>
      </c>
      <c r="E246" s="180" t="s">
        <v>370</v>
      </c>
      <c r="F246" s="202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5">
        <v>0</v>
      </c>
      <c r="S246" s="180"/>
      <c r="T246" s="235"/>
      <c r="U246" s="236"/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7">
        <v>0</v>
      </c>
      <c r="AG246" s="180"/>
      <c r="AH246" s="202"/>
      <c r="AI246" s="203"/>
      <c r="AJ246" s="203"/>
      <c r="AK246" s="203"/>
      <c r="AL246" s="203"/>
      <c r="AM246" s="203"/>
      <c r="AN246" s="203"/>
      <c r="AO246" s="203"/>
      <c r="AP246" s="203"/>
      <c r="AQ246" s="203"/>
      <c r="AR246" s="203"/>
      <c r="AS246" s="203"/>
      <c r="AT246" s="205">
        <v>0</v>
      </c>
      <c r="AU246" s="180"/>
      <c r="AV246" s="180"/>
    </row>
    <row r="247" spans="1:48" ht="13.5" hidden="1" customHeight="1">
      <c r="A247" s="178">
        <v>520250</v>
      </c>
      <c r="B247" s="178">
        <v>51002270</v>
      </c>
      <c r="D247" s="201" t="s">
        <v>640</v>
      </c>
      <c r="E247" s="180" t="s">
        <v>370</v>
      </c>
      <c r="F247" s="202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5">
        <v>0</v>
      </c>
      <c r="S247" s="180"/>
      <c r="T247" s="235"/>
      <c r="U247" s="236"/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7">
        <v>0</v>
      </c>
      <c r="AG247" s="180"/>
      <c r="AH247" s="202"/>
      <c r="AI247" s="203"/>
      <c r="AJ247" s="203"/>
      <c r="AK247" s="203"/>
      <c r="AL247" s="203"/>
      <c r="AM247" s="203"/>
      <c r="AN247" s="203"/>
      <c r="AO247" s="203"/>
      <c r="AP247" s="203"/>
      <c r="AQ247" s="203"/>
      <c r="AR247" s="203"/>
      <c r="AS247" s="203"/>
      <c r="AT247" s="205">
        <v>0</v>
      </c>
      <c r="AU247" s="180"/>
      <c r="AV247" s="180"/>
    </row>
    <row r="248" spans="1:48" ht="13.5" hidden="1" customHeight="1">
      <c r="A248" s="178">
        <v>520250</v>
      </c>
      <c r="B248" s="178">
        <v>51002280</v>
      </c>
      <c r="D248" s="201" t="s">
        <v>641</v>
      </c>
      <c r="E248" s="180" t="s">
        <v>370</v>
      </c>
      <c r="F248" s="202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5">
        <v>0</v>
      </c>
      <c r="S248" s="180"/>
      <c r="T248" s="235"/>
      <c r="U248" s="236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7">
        <v>0</v>
      </c>
      <c r="AG248" s="180"/>
      <c r="AH248" s="202"/>
      <c r="AI248" s="203"/>
      <c r="AJ248" s="203"/>
      <c r="AK248" s="203"/>
      <c r="AL248" s="203"/>
      <c r="AM248" s="203"/>
      <c r="AN248" s="203"/>
      <c r="AO248" s="203"/>
      <c r="AP248" s="203"/>
      <c r="AQ248" s="203"/>
      <c r="AR248" s="203"/>
      <c r="AS248" s="203"/>
      <c r="AT248" s="205">
        <v>0</v>
      </c>
      <c r="AU248" s="180"/>
      <c r="AV248" s="180"/>
    </row>
    <row r="249" spans="1:48" ht="13.5" hidden="1" customHeight="1">
      <c r="A249" s="178">
        <v>520260</v>
      </c>
      <c r="B249" s="178">
        <v>51002310</v>
      </c>
      <c r="D249" s="201" t="s">
        <v>642</v>
      </c>
      <c r="E249" s="180" t="s">
        <v>370</v>
      </c>
      <c r="F249" s="202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5">
        <v>0</v>
      </c>
      <c r="S249" s="180"/>
      <c r="T249" s="235"/>
      <c r="U249" s="236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7">
        <v>0</v>
      </c>
      <c r="AG249" s="180"/>
      <c r="AH249" s="202"/>
      <c r="AI249" s="203"/>
      <c r="AJ249" s="203"/>
      <c r="AK249" s="203"/>
      <c r="AL249" s="203"/>
      <c r="AM249" s="203"/>
      <c r="AN249" s="203"/>
      <c r="AO249" s="203"/>
      <c r="AP249" s="203"/>
      <c r="AQ249" s="203"/>
      <c r="AR249" s="203"/>
      <c r="AS249" s="203"/>
      <c r="AT249" s="205">
        <v>0</v>
      </c>
      <c r="AU249" s="180"/>
      <c r="AV249" s="180"/>
    </row>
    <row r="250" spans="1:48" ht="13.5" hidden="1" customHeight="1">
      <c r="A250" s="178">
        <v>520270</v>
      </c>
      <c r="B250" s="178">
        <v>51002330</v>
      </c>
      <c r="D250" s="201" t="s">
        <v>643</v>
      </c>
      <c r="E250" s="180" t="s">
        <v>370</v>
      </c>
      <c r="F250" s="202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5">
        <v>0</v>
      </c>
      <c r="S250" s="180"/>
      <c r="T250" s="235"/>
      <c r="U250" s="236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7">
        <v>0</v>
      </c>
      <c r="AG250" s="180"/>
      <c r="AH250" s="202"/>
      <c r="AI250" s="203"/>
      <c r="AJ250" s="203"/>
      <c r="AK250" s="203"/>
      <c r="AL250" s="203"/>
      <c r="AM250" s="203"/>
      <c r="AN250" s="203"/>
      <c r="AO250" s="203"/>
      <c r="AP250" s="203"/>
      <c r="AQ250" s="203"/>
      <c r="AR250" s="203"/>
      <c r="AS250" s="203"/>
      <c r="AT250" s="205">
        <v>0</v>
      </c>
      <c r="AU250" s="180"/>
      <c r="AV250" s="180"/>
    </row>
    <row r="251" spans="1:48" ht="13.5" hidden="1" customHeight="1">
      <c r="A251" s="178">
        <v>520280</v>
      </c>
      <c r="B251" s="178"/>
      <c r="D251" s="201" t="s">
        <v>644</v>
      </c>
      <c r="E251" s="180" t="s">
        <v>370</v>
      </c>
      <c r="F251" s="202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5">
        <v>0</v>
      </c>
      <c r="S251" s="180"/>
      <c r="T251" s="235"/>
      <c r="U251" s="236"/>
      <c r="V251" s="236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7">
        <v>0</v>
      </c>
      <c r="AG251" s="180"/>
      <c r="AH251" s="202"/>
      <c r="AI251" s="203"/>
      <c r="AJ251" s="203"/>
      <c r="AK251" s="203"/>
      <c r="AL251" s="203"/>
      <c r="AM251" s="203"/>
      <c r="AN251" s="203"/>
      <c r="AO251" s="203"/>
      <c r="AP251" s="203"/>
      <c r="AQ251" s="203"/>
      <c r="AR251" s="203"/>
      <c r="AS251" s="203"/>
      <c r="AT251" s="205">
        <v>0</v>
      </c>
      <c r="AU251" s="180"/>
      <c r="AV251" s="180"/>
    </row>
    <row r="252" spans="1:48" ht="13.5" hidden="1" customHeight="1">
      <c r="A252" s="178">
        <v>520290</v>
      </c>
      <c r="B252" s="178">
        <v>51002340</v>
      </c>
      <c r="D252" s="201" t="s">
        <v>645</v>
      </c>
      <c r="E252" s="180" t="s">
        <v>370</v>
      </c>
      <c r="F252" s="202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5">
        <v>0</v>
      </c>
      <c r="S252" s="180"/>
      <c r="T252" s="235"/>
      <c r="U252" s="236"/>
      <c r="V252" s="236"/>
      <c r="W252" s="236"/>
      <c r="X252" s="236"/>
      <c r="Y252" s="236"/>
      <c r="Z252" s="236"/>
      <c r="AA252" s="236"/>
      <c r="AB252" s="236"/>
      <c r="AC252" s="236"/>
      <c r="AD252" s="236"/>
      <c r="AE252" s="236"/>
      <c r="AF252" s="237">
        <v>0</v>
      </c>
      <c r="AG252" s="180"/>
      <c r="AH252" s="202"/>
      <c r="AI252" s="203"/>
      <c r="AJ252" s="203"/>
      <c r="AK252" s="203"/>
      <c r="AL252" s="203"/>
      <c r="AM252" s="203"/>
      <c r="AN252" s="203"/>
      <c r="AO252" s="203"/>
      <c r="AP252" s="203"/>
      <c r="AQ252" s="203"/>
      <c r="AR252" s="203"/>
      <c r="AS252" s="203"/>
      <c r="AT252" s="205">
        <v>0</v>
      </c>
      <c r="AU252" s="180"/>
      <c r="AV252" s="180"/>
    </row>
    <row r="253" spans="1:48" ht="13.5" hidden="1" customHeight="1">
      <c r="A253" s="178">
        <v>520300</v>
      </c>
      <c r="B253" s="178"/>
      <c r="D253" s="201" t="s">
        <v>646</v>
      </c>
      <c r="E253" s="180" t="s">
        <v>370</v>
      </c>
      <c r="F253" s="202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5">
        <v>0</v>
      </c>
      <c r="S253" s="180"/>
      <c r="T253" s="235"/>
      <c r="U253" s="236"/>
      <c r="V253" s="236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7">
        <v>0</v>
      </c>
      <c r="AG253" s="180"/>
      <c r="AH253" s="202"/>
      <c r="AI253" s="203"/>
      <c r="AJ253" s="203"/>
      <c r="AK253" s="203"/>
      <c r="AL253" s="203"/>
      <c r="AM253" s="203"/>
      <c r="AN253" s="203"/>
      <c r="AO253" s="203"/>
      <c r="AP253" s="203"/>
      <c r="AQ253" s="203"/>
      <c r="AR253" s="203"/>
      <c r="AS253" s="203"/>
      <c r="AT253" s="205">
        <v>0</v>
      </c>
      <c r="AU253" s="180"/>
      <c r="AV253" s="180"/>
    </row>
    <row r="254" spans="1:48" ht="13.5" hidden="1" customHeight="1">
      <c r="A254" s="178">
        <v>520310</v>
      </c>
      <c r="B254" s="178">
        <v>51002410</v>
      </c>
      <c r="D254" s="201" t="s">
        <v>647</v>
      </c>
      <c r="E254" s="180" t="s">
        <v>370</v>
      </c>
      <c r="F254" s="202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5">
        <v>0</v>
      </c>
      <c r="S254" s="180"/>
      <c r="T254" s="235"/>
      <c r="U254" s="236"/>
      <c r="V254" s="236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7">
        <v>0</v>
      </c>
      <c r="AG254" s="180"/>
      <c r="AH254" s="202"/>
      <c r="AI254" s="203"/>
      <c r="AJ254" s="203"/>
      <c r="AK254" s="203"/>
      <c r="AL254" s="203"/>
      <c r="AM254" s="203"/>
      <c r="AN254" s="203"/>
      <c r="AO254" s="203"/>
      <c r="AP254" s="203"/>
      <c r="AQ254" s="203"/>
      <c r="AR254" s="203"/>
      <c r="AS254" s="203"/>
      <c r="AT254" s="205">
        <v>0</v>
      </c>
      <c r="AU254" s="180"/>
      <c r="AV254" s="180"/>
    </row>
    <row r="255" spans="1:48" ht="13.5" hidden="1" customHeight="1">
      <c r="A255" s="178">
        <v>520320</v>
      </c>
      <c r="B255" s="178">
        <v>51002420</v>
      </c>
      <c r="D255" s="201" t="s">
        <v>648</v>
      </c>
      <c r="E255" s="180" t="s">
        <v>370</v>
      </c>
      <c r="F255" s="202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5">
        <v>0</v>
      </c>
      <c r="S255" s="180"/>
      <c r="T255" s="235"/>
      <c r="U255" s="236"/>
      <c r="V255" s="236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7">
        <v>0</v>
      </c>
      <c r="AG255" s="180"/>
      <c r="AH255" s="202"/>
      <c r="AI255" s="203"/>
      <c r="AJ255" s="203"/>
      <c r="AK255" s="203"/>
      <c r="AL255" s="203"/>
      <c r="AM255" s="203"/>
      <c r="AN255" s="203"/>
      <c r="AO255" s="203"/>
      <c r="AP255" s="203"/>
      <c r="AQ255" s="203"/>
      <c r="AR255" s="203"/>
      <c r="AS255" s="203"/>
      <c r="AT255" s="205">
        <v>0</v>
      </c>
      <c r="AU255" s="180"/>
      <c r="AV255" s="180"/>
    </row>
    <row r="256" spans="1:48" ht="13.5" hidden="1" customHeight="1">
      <c r="A256" s="178">
        <v>520330</v>
      </c>
      <c r="B256" s="178">
        <v>51002430</v>
      </c>
      <c r="D256" s="201" t="s">
        <v>649</v>
      </c>
      <c r="E256" s="180" t="s">
        <v>370</v>
      </c>
      <c r="F256" s="202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5">
        <v>0</v>
      </c>
      <c r="S256" s="180"/>
      <c r="T256" s="235"/>
      <c r="U256" s="236"/>
      <c r="V256" s="236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7">
        <v>0</v>
      </c>
      <c r="AG256" s="180"/>
      <c r="AH256" s="202"/>
      <c r="AI256" s="203"/>
      <c r="AJ256" s="203"/>
      <c r="AK256" s="203"/>
      <c r="AL256" s="203"/>
      <c r="AM256" s="203"/>
      <c r="AN256" s="203"/>
      <c r="AO256" s="203"/>
      <c r="AP256" s="203"/>
      <c r="AQ256" s="203"/>
      <c r="AR256" s="203"/>
      <c r="AS256" s="203"/>
      <c r="AT256" s="205">
        <v>0</v>
      </c>
      <c r="AU256" s="180"/>
      <c r="AV256" s="180"/>
    </row>
    <row r="257" spans="1:48" ht="13.5" hidden="1" customHeight="1">
      <c r="A257" s="178">
        <v>520340</v>
      </c>
      <c r="B257" s="178">
        <v>51002450</v>
      </c>
      <c r="D257" s="201" t="s">
        <v>650</v>
      </c>
      <c r="E257" s="180" t="s">
        <v>370</v>
      </c>
      <c r="F257" s="202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5">
        <v>0</v>
      </c>
      <c r="S257" s="180"/>
      <c r="T257" s="235"/>
      <c r="U257" s="236"/>
      <c r="V257" s="236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7">
        <v>0</v>
      </c>
      <c r="AG257" s="180"/>
      <c r="AH257" s="202"/>
      <c r="AI257" s="203"/>
      <c r="AJ257" s="203"/>
      <c r="AK257" s="203"/>
      <c r="AL257" s="203"/>
      <c r="AM257" s="203"/>
      <c r="AN257" s="203"/>
      <c r="AO257" s="203"/>
      <c r="AP257" s="203"/>
      <c r="AQ257" s="203"/>
      <c r="AR257" s="203"/>
      <c r="AS257" s="203"/>
      <c r="AT257" s="205">
        <v>0</v>
      </c>
      <c r="AU257" s="180"/>
      <c r="AV257" s="180"/>
    </row>
    <row r="258" spans="1:48" ht="13.5" hidden="1" customHeight="1">
      <c r="A258" s="178">
        <v>520350</v>
      </c>
      <c r="B258" s="178">
        <v>51002460</v>
      </c>
      <c r="D258" s="201" t="s">
        <v>651</v>
      </c>
      <c r="E258" s="180" t="s">
        <v>370</v>
      </c>
      <c r="F258" s="202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5">
        <v>0</v>
      </c>
      <c r="S258" s="180"/>
      <c r="T258" s="235"/>
      <c r="U258" s="236"/>
      <c r="V258" s="236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7">
        <v>0</v>
      </c>
      <c r="AG258" s="180"/>
      <c r="AH258" s="202"/>
      <c r="AI258" s="203"/>
      <c r="AJ258" s="203"/>
      <c r="AK258" s="203"/>
      <c r="AL258" s="203"/>
      <c r="AM258" s="203"/>
      <c r="AN258" s="203"/>
      <c r="AO258" s="203"/>
      <c r="AP258" s="203"/>
      <c r="AQ258" s="203"/>
      <c r="AR258" s="203"/>
      <c r="AS258" s="203"/>
      <c r="AT258" s="205">
        <v>0</v>
      </c>
      <c r="AU258" s="180"/>
      <c r="AV258" s="180"/>
    </row>
    <row r="259" spans="1:48" ht="13.5" hidden="1" customHeight="1">
      <c r="A259" s="178">
        <v>520360</v>
      </c>
      <c r="B259" s="178">
        <v>51002470</v>
      </c>
      <c r="D259" s="201" t="s">
        <v>652</v>
      </c>
      <c r="E259" s="180" t="s">
        <v>370</v>
      </c>
      <c r="F259" s="202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5">
        <v>0</v>
      </c>
      <c r="S259" s="180"/>
      <c r="T259" s="235"/>
      <c r="U259" s="236"/>
      <c r="V259" s="236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7">
        <v>0</v>
      </c>
      <c r="AG259" s="180"/>
      <c r="AH259" s="202"/>
      <c r="AI259" s="203"/>
      <c r="AJ259" s="203"/>
      <c r="AK259" s="203"/>
      <c r="AL259" s="203"/>
      <c r="AM259" s="203"/>
      <c r="AN259" s="203"/>
      <c r="AO259" s="203"/>
      <c r="AP259" s="203"/>
      <c r="AQ259" s="203"/>
      <c r="AR259" s="203"/>
      <c r="AS259" s="203"/>
      <c r="AT259" s="205">
        <v>0</v>
      </c>
      <c r="AU259" s="180"/>
      <c r="AV259" s="180"/>
    </row>
    <row r="260" spans="1:48" ht="13.5" hidden="1" customHeight="1">
      <c r="A260" s="178">
        <v>520370</v>
      </c>
      <c r="B260" s="178">
        <v>51002480</v>
      </c>
      <c r="D260" s="201" t="s">
        <v>653</v>
      </c>
      <c r="E260" s="180" t="s">
        <v>370</v>
      </c>
      <c r="F260" s="202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5">
        <v>0</v>
      </c>
      <c r="S260" s="180"/>
      <c r="T260" s="235"/>
      <c r="U260" s="236"/>
      <c r="V260" s="236"/>
      <c r="W260" s="236"/>
      <c r="X260" s="236"/>
      <c r="Y260" s="236"/>
      <c r="Z260" s="236"/>
      <c r="AA260" s="236"/>
      <c r="AB260" s="236"/>
      <c r="AC260" s="236"/>
      <c r="AD260" s="236"/>
      <c r="AE260" s="236"/>
      <c r="AF260" s="237">
        <v>0</v>
      </c>
      <c r="AG260" s="180"/>
      <c r="AH260" s="202"/>
      <c r="AI260" s="203"/>
      <c r="AJ260" s="203"/>
      <c r="AK260" s="203"/>
      <c r="AL260" s="203"/>
      <c r="AM260" s="203"/>
      <c r="AN260" s="203"/>
      <c r="AO260" s="203"/>
      <c r="AP260" s="203"/>
      <c r="AQ260" s="203"/>
      <c r="AR260" s="203"/>
      <c r="AS260" s="203"/>
      <c r="AT260" s="205">
        <v>0</v>
      </c>
      <c r="AU260" s="180"/>
      <c r="AV260" s="180"/>
    </row>
    <row r="261" spans="1:48" ht="13.5" hidden="1" customHeight="1">
      <c r="A261" s="178">
        <v>520380</v>
      </c>
      <c r="B261" s="178">
        <v>51002490</v>
      </c>
      <c r="D261" s="201" t="s">
        <v>654</v>
      </c>
      <c r="E261" s="180" t="s">
        <v>370</v>
      </c>
      <c r="F261" s="202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5">
        <v>0</v>
      </c>
      <c r="S261" s="180"/>
      <c r="T261" s="235"/>
      <c r="U261" s="236"/>
      <c r="V261" s="236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7">
        <v>0</v>
      </c>
      <c r="AG261" s="180"/>
      <c r="AH261" s="202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5">
        <v>0</v>
      </c>
      <c r="AU261" s="180"/>
      <c r="AV261" s="180"/>
    </row>
    <row r="262" spans="1:48" ht="13.5" hidden="1" customHeight="1">
      <c r="A262" s="178">
        <v>520390</v>
      </c>
      <c r="B262" s="178"/>
      <c r="D262" s="201" t="s">
        <v>655</v>
      </c>
      <c r="E262" s="180" t="s">
        <v>370</v>
      </c>
      <c r="F262" s="202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5">
        <v>0</v>
      </c>
      <c r="S262" s="180"/>
      <c r="T262" s="235"/>
      <c r="U262" s="236"/>
      <c r="V262" s="236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7">
        <v>0</v>
      </c>
      <c r="AG262" s="180"/>
      <c r="AH262" s="202"/>
      <c r="AI262" s="203"/>
      <c r="AJ262" s="203"/>
      <c r="AK262" s="203"/>
      <c r="AL262" s="203"/>
      <c r="AM262" s="203"/>
      <c r="AN262" s="203"/>
      <c r="AO262" s="203"/>
      <c r="AP262" s="203"/>
      <c r="AQ262" s="203"/>
      <c r="AR262" s="203"/>
      <c r="AS262" s="203"/>
      <c r="AT262" s="205">
        <v>0</v>
      </c>
      <c r="AU262" s="180"/>
      <c r="AV262" s="180"/>
    </row>
    <row r="263" spans="1:48" ht="13.5" hidden="1" customHeight="1">
      <c r="A263" s="178">
        <v>520395</v>
      </c>
      <c r="B263" s="178">
        <v>51002520</v>
      </c>
      <c r="D263" s="201" t="s">
        <v>656</v>
      </c>
      <c r="E263" s="180" t="s">
        <v>370</v>
      </c>
      <c r="F263" s="202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5">
        <v>0</v>
      </c>
      <c r="S263" s="180"/>
      <c r="T263" s="235"/>
      <c r="U263" s="236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7">
        <v>0</v>
      </c>
      <c r="AG263" s="180"/>
      <c r="AH263" s="202"/>
      <c r="AI263" s="203"/>
      <c r="AJ263" s="203"/>
      <c r="AK263" s="203"/>
      <c r="AL263" s="203"/>
      <c r="AM263" s="203"/>
      <c r="AN263" s="203"/>
      <c r="AO263" s="203"/>
      <c r="AP263" s="203"/>
      <c r="AQ263" s="203"/>
      <c r="AR263" s="203"/>
      <c r="AS263" s="203"/>
      <c r="AT263" s="205">
        <v>0</v>
      </c>
      <c r="AU263" s="180"/>
      <c r="AV263" s="180"/>
    </row>
    <row r="264" spans="1:48" ht="13.5" hidden="1" customHeight="1">
      <c r="A264" s="178">
        <v>520400</v>
      </c>
      <c r="B264" s="178">
        <v>51002610</v>
      </c>
      <c r="D264" s="201" t="s">
        <v>657</v>
      </c>
      <c r="E264" s="180" t="s">
        <v>370</v>
      </c>
      <c r="F264" s="202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5">
        <v>0</v>
      </c>
      <c r="S264" s="180"/>
      <c r="T264" s="235"/>
      <c r="U264" s="236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7">
        <v>0</v>
      </c>
      <c r="AG264" s="180"/>
      <c r="AH264" s="202"/>
      <c r="AI264" s="203"/>
      <c r="AJ264" s="203"/>
      <c r="AK264" s="203"/>
      <c r="AL264" s="203"/>
      <c r="AM264" s="203"/>
      <c r="AN264" s="203"/>
      <c r="AO264" s="203"/>
      <c r="AP264" s="203"/>
      <c r="AQ264" s="203"/>
      <c r="AR264" s="203"/>
      <c r="AS264" s="203"/>
      <c r="AT264" s="205">
        <v>0</v>
      </c>
      <c r="AU264" s="180"/>
      <c r="AV264" s="180"/>
    </row>
    <row r="265" spans="1:48" ht="13.5" hidden="1" customHeight="1">
      <c r="A265" s="178">
        <v>520410</v>
      </c>
      <c r="B265" s="178">
        <v>51002630</v>
      </c>
      <c r="D265" s="201" t="s">
        <v>658</v>
      </c>
      <c r="E265" s="180" t="s">
        <v>370</v>
      </c>
      <c r="F265" s="202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5">
        <v>0</v>
      </c>
      <c r="S265" s="180"/>
      <c r="T265" s="235"/>
      <c r="U265" s="236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7">
        <v>0</v>
      </c>
      <c r="AG265" s="180"/>
      <c r="AH265" s="202"/>
      <c r="AI265" s="203"/>
      <c r="AJ265" s="203"/>
      <c r="AK265" s="203"/>
      <c r="AL265" s="203"/>
      <c r="AM265" s="203"/>
      <c r="AN265" s="203"/>
      <c r="AO265" s="203"/>
      <c r="AP265" s="203"/>
      <c r="AQ265" s="203"/>
      <c r="AR265" s="203"/>
      <c r="AS265" s="203"/>
      <c r="AT265" s="205">
        <v>0</v>
      </c>
      <c r="AU265" s="180"/>
      <c r="AV265" s="180"/>
    </row>
    <row r="266" spans="1:48" ht="13.5" hidden="1" customHeight="1">
      <c r="A266" s="178">
        <v>520420</v>
      </c>
      <c r="B266" s="178">
        <v>51002710</v>
      </c>
      <c r="D266" s="201" t="s">
        <v>659</v>
      </c>
      <c r="E266" s="180" t="s">
        <v>370</v>
      </c>
      <c r="F266" s="202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5">
        <v>0</v>
      </c>
      <c r="S266" s="180"/>
      <c r="T266" s="235"/>
      <c r="U266" s="236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7">
        <v>0</v>
      </c>
      <c r="AG266" s="180"/>
      <c r="AH266" s="202"/>
      <c r="AI266" s="203"/>
      <c r="AJ266" s="203"/>
      <c r="AK266" s="203"/>
      <c r="AL266" s="203"/>
      <c r="AM266" s="203"/>
      <c r="AN266" s="203"/>
      <c r="AO266" s="203"/>
      <c r="AP266" s="203"/>
      <c r="AQ266" s="203"/>
      <c r="AR266" s="203"/>
      <c r="AS266" s="203"/>
      <c r="AT266" s="205">
        <v>0</v>
      </c>
      <c r="AU266" s="180"/>
      <c r="AV266" s="180"/>
    </row>
    <row r="267" spans="1:48" ht="13.5" hidden="1" customHeight="1">
      <c r="A267" s="178">
        <v>520430</v>
      </c>
      <c r="B267" s="178">
        <v>51002720</v>
      </c>
      <c r="D267" s="201" t="s">
        <v>660</v>
      </c>
      <c r="E267" s="180" t="s">
        <v>370</v>
      </c>
      <c r="F267" s="202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5">
        <v>0</v>
      </c>
      <c r="S267" s="180"/>
      <c r="T267" s="235"/>
      <c r="U267" s="236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7">
        <v>0</v>
      </c>
      <c r="AG267" s="180"/>
      <c r="AH267" s="202"/>
      <c r="AI267" s="203"/>
      <c r="AJ267" s="203"/>
      <c r="AK267" s="203"/>
      <c r="AL267" s="203"/>
      <c r="AM267" s="203"/>
      <c r="AN267" s="203"/>
      <c r="AO267" s="203"/>
      <c r="AP267" s="203"/>
      <c r="AQ267" s="203"/>
      <c r="AR267" s="203"/>
      <c r="AS267" s="203"/>
      <c r="AT267" s="205">
        <v>0</v>
      </c>
      <c r="AU267" s="180"/>
      <c r="AV267" s="180"/>
    </row>
    <row r="268" spans="1:48" ht="13.5" hidden="1" customHeight="1">
      <c r="A268" s="178">
        <v>520440</v>
      </c>
      <c r="B268" s="178">
        <v>51002730</v>
      </c>
      <c r="D268" s="201" t="s">
        <v>661</v>
      </c>
      <c r="E268" s="180" t="s">
        <v>370</v>
      </c>
      <c r="F268" s="202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5">
        <v>0</v>
      </c>
      <c r="S268" s="180"/>
      <c r="T268" s="235"/>
      <c r="U268" s="236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7">
        <v>0</v>
      </c>
      <c r="AG268" s="180"/>
      <c r="AH268" s="202"/>
      <c r="AI268" s="203"/>
      <c r="AJ268" s="203"/>
      <c r="AK268" s="203"/>
      <c r="AL268" s="203"/>
      <c r="AM268" s="203"/>
      <c r="AN268" s="203"/>
      <c r="AO268" s="203"/>
      <c r="AP268" s="203"/>
      <c r="AQ268" s="203"/>
      <c r="AR268" s="203"/>
      <c r="AS268" s="203"/>
      <c r="AT268" s="205">
        <v>0</v>
      </c>
      <c r="AU268" s="180"/>
      <c r="AV268" s="180"/>
    </row>
    <row r="269" spans="1:48" ht="13.5" hidden="1" customHeight="1">
      <c r="A269" s="178">
        <v>520450</v>
      </c>
      <c r="B269" s="178">
        <v>51002750</v>
      </c>
      <c r="D269" s="201" t="s">
        <v>662</v>
      </c>
      <c r="E269" s="180" t="s">
        <v>370</v>
      </c>
      <c r="F269" s="202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5">
        <v>0</v>
      </c>
      <c r="S269" s="180"/>
      <c r="T269" s="235"/>
      <c r="U269" s="236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7">
        <v>0</v>
      </c>
      <c r="AG269" s="180"/>
      <c r="AH269" s="202"/>
      <c r="AI269" s="203"/>
      <c r="AJ269" s="203"/>
      <c r="AK269" s="203"/>
      <c r="AL269" s="203"/>
      <c r="AM269" s="203"/>
      <c r="AN269" s="203"/>
      <c r="AO269" s="203"/>
      <c r="AP269" s="203"/>
      <c r="AQ269" s="203"/>
      <c r="AR269" s="203"/>
      <c r="AS269" s="203"/>
      <c r="AT269" s="205">
        <v>0</v>
      </c>
      <c r="AU269" s="180"/>
      <c r="AV269" s="180"/>
    </row>
    <row r="270" spans="1:48" ht="13.5" hidden="1" customHeight="1">
      <c r="A270" s="178">
        <v>520460</v>
      </c>
      <c r="B270" s="178">
        <v>51002810</v>
      </c>
      <c r="D270" s="201" t="s">
        <v>663</v>
      </c>
      <c r="E270" s="180" t="s">
        <v>370</v>
      </c>
      <c r="F270" s="202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5">
        <v>0</v>
      </c>
      <c r="S270" s="180"/>
      <c r="T270" s="235"/>
      <c r="U270" s="236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7">
        <v>0</v>
      </c>
      <c r="AG270" s="180"/>
      <c r="AH270" s="202"/>
      <c r="AI270" s="203"/>
      <c r="AJ270" s="203"/>
      <c r="AK270" s="203"/>
      <c r="AL270" s="203"/>
      <c r="AM270" s="203"/>
      <c r="AN270" s="203"/>
      <c r="AO270" s="203"/>
      <c r="AP270" s="203"/>
      <c r="AQ270" s="203"/>
      <c r="AR270" s="203"/>
      <c r="AS270" s="203"/>
      <c r="AT270" s="205">
        <v>0</v>
      </c>
      <c r="AU270" s="180"/>
      <c r="AV270" s="180"/>
    </row>
    <row r="271" spans="1:48" ht="13.5" hidden="1" customHeight="1">
      <c r="A271" s="178">
        <v>520470</v>
      </c>
      <c r="B271" s="178">
        <v>51002920</v>
      </c>
      <c r="D271" s="201" t="s">
        <v>664</v>
      </c>
      <c r="E271" s="180" t="s">
        <v>370</v>
      </c>
      <c r="F271" s="202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5">
        <v>0</v>
      </c>
      <c r="S271" s="180"/>
      <c r="T271" s="235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7">
        <v>0</v>
      </c>
      <c r="AG271" s="180"/>
      <c r="AH271" s="202"/>
      <c r="AI271" s="203"/>
      <c r="AJ271" s="203"/>
      <c r="AK271" s="203"/>
      <c r="AL271" s="203"/>
      <c r="AM271" s="203"/>
      <c r="AN271" s="203"/>
      <c r="AO271" s="203"/>
      <c r="AP271" s="203"/>
      <c r="AQ271" s="203"/>
      <c r="AR271" s="203"/>
      <c r="AS271" s="203"/>
      <c r="AT271" s="205">
        <v>0</v>
      </c>
      <c r="AU271" s="180"/>
      <c r="AV271" s="180"/>
    </row>
    <row r="272" spans="1:48" ht="13.5" hidden="1" customHeight="1">
      <c r="A272" s="178">
        <v>520480</v>
      </c>
      <c r="B272" s="178"/>
      <c r="D272" s="201" t="s">
        <v>665</v>
      </c>
      <c r="E272" s="180" t="s">
        <v>370</v>
      </c>
      <c r="F272" s="202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5">
        <v>0</v>
      </c>
      <c r="S272" s="180"/>
      <c r="T272" s="235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7">
        <v>0</v>
      </c>
      <c r="AG272" s="180"/>
      <c r="AH272" s="202"/>
      <c r="AI272" s="203"/>
      <c r="AJ272" s="203"/>
      <c r="AK272" s="203"/>
      <c r="AL272" s="203"/>
      <c r="AM272" s="203"/>
      <c r="AN272" s="203"/>
      <c r="AO272" s="203"/>
      <c r="AP272" s="203"/>
      <c r="AQ272" s="203"/>
      <c r="AR272" s="203"/>
      <c r="AS272" s="203"/>
      <c r="AT272" s="205">
        <v>0</v>
      </c>
      <c r="AU272" s="180"/>
      <c r="AV272" s="180"/>
    </row>
    <row r="273" spans="1:48" ht="13.5" hidden="1" customHeight="1">
      <c r="A273" s="178">
        <v>520490</v>
      </c>
      <c r="B273" s="178"/>
      <c r="D273" s="201" t="s">
        <v>666</v>
      </c>
      <c r="E273" s="180" t="s">
        <v>370</v>
      </c>
      <c r="F273" s="202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5">
        <v>0</v>
      </c>
      <c r="S273" s="180"/>
      <c r="T273" s="235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7">
        <v>0</v>
      </c>
      <c r="AG273" s="180"/>
      <c r="AH273" s="202"/>
      <c r="AI273" s="203"/>
      <c r="AJ273" s="203"/>
      <c r="AK273" s="203"/>
      <c r="AL273" s="203"/>
      <c r="AM273" s="203"/>
      <c r="AN273" s="203"/>
      <c r="AO273" s="203"/>
      <c r="AP273" s="203"/>
      <c r="AQ273" s="203"/>
      <c r="AR273" s="203"/>
      <c r="AS273" s="203"/>
      <c r="AT273" s="205">
        <v>0</v>
      </c>
      <c r="AU273" s="180"/>
      <c r="AV273" s="180"/>
    </row>
    <row r="274" spans="1:48" ht="13.5" hidden="1" customHeight="1">
      <c r="A274" s="178">
        <v>520500</v>
      </c>
      <c r="B274" s="178"/>
      <c r="D274" s="201" t="s">
        <v>667</v>
      </c>
      <c r="E274" s="180" t="s">
        <v>370</v>
      </c>
      <c r="F274" s="202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5">
        <v>0</v>
      </c>
      <c r="S274" s="180"/>
      <c r="T274" s="235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7">
        <v>0</v>
      </c>
      <c r="AG274" s="180"/>
      <c r="AH274" s="202"/>
      <c r="AI274" s="203"/>
      <c r="AJ274" s="203"/>
      <c r="AK274" s="203"/>
      <c r="AL274" s="203"/>
      <c r="AM274" s="203"/>
      <c r="AN274" s="203"/>
      <c r="AO274" s="203"/>
      <c r="AP274" s="203"/>
      <c r="AQ274" s="203"/>
      <c r="AR274" s="203"/>
      <c r="AS274" s="203"/>
      <c r="AT274" s="205">
        <v>0</v>
      </c>
      <c r="AU274" s="180"/>
      <c r="AV274" s="180"/>
    </row>
    <row r="275" spans="1:48" ht="13.5" hidden="1" customHeight="1">
      <c r="A275" s="178">
        <v>520510</v>
      </c>
      <c r="B275" s="178"/>
      <c r="D275" s="201" t="s">
        <v>668</v>
      </c>
      <c r="E275" s="180" t="s">
        <v>370</v>
      </c>
      <c r="F275" s="202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5">
        <v>0</v>
      </c>
      <c r="S275" s="180"/>
      <c r="T275" s="235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7">
        <v>0</v>
      </c>
      <c r="AG275" s="180"/>
      <c r="AH275" s="202"/>
      <c r="AI275" s="203"/>
      <c r="AJ275" s="203"/>
      <c r="AK275" s="203"/>
      <c r="AL275" s="203"/>
      <c r="AM275" s="203"/>
      <c r="AN275" s="203"/>
      <c r="AO275" s="203"/>
      <c r="AP275" s="203"/>
      <c r="AQ275" s="203"/>
      <c r="AR275" s="203"/>
      <c r="AS275" s="203"/>
      <c r="AT275" s="205">
        <v>0</v>
      </c>
      <c r="AU275" s="180"/>
      <c r="AV275" s="180"/>
    </row>
    <row r="276" spans="1:48" ht="13.5" hidden="1" customHeight="1">
      <c r="A276" s="178">
        <v>520520</v>
      </c>
      <c r="B276" s="178"/>
      <c r="D276" s="201" t="s">
        <v>669</v>
      </c>
      <c r="E276" s="180" t="s">
        <v>370</v>
      </c>
      <c r="F276" s="202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5">
        <v>0</v>
      </c>
      <c r="S276" s="180"/>
      <c r="T276" s="235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7">
        <v>0</v>
      </c>
      <c r="AG276" s="180"/>
      <c r="AH276" s="202"/>
      <c r="AI276" s="203"/>
      <c r="AJ276" s="203"/>
      <c r="AK276" s="203"/>
      <c r="AL276" s="203"/>
      <c r="AM276" s="203"/>
      <c r="AN276" s="203"/>
      <c r="AO276" s="203"/>
      <c r="AP276" s="203"/>
      <c r="AQ276" s="203"/>
      <c r="AR276" s="203"/>
      <c r="AS276" s="203"/>
      <c r="AT276" s="205">
        <v>0</v>
      </c>
      <c r="AU276" s="180"/>
      <c r="AV276" s="180"/>
    </row>
    <row r="277" spans="1:48" ht="13.5" hidden="1" customHeight="1">
      <c r="A277" s="178">
        <v>520530</v>
      </c>
      <c r="B277" s="178"/>
      <c r="D277" s="201" t="s">
        <v>670</v>
      </c>
      <c r="E277" s="180" t="s">
        <v>370</v>
      </c>
      <c r="F277" s="202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5">
        <v>0</v>
      </c>
      <c r="S277" s="180"/>
      <c r="T277" s="235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7">
        <v>0</v>
      </c>
      <c r="AG277" s="180"/>
      <c r="AH277" s="202"/>
      <c r="AI277" s="203"/>
      <c r="AJ277" s="203"/>
      <c r="AK277" s="203"/>
      <c r="AL277" s="203"/>
      <c r="AM277" s="203"/>
      <c r="AN277" s="203"/>
      <c r="AO277" s="203"/>
      <c r="AP277" s="203"/>
      <c r="AQ277" s="203"/>
      <c r="AR277" s="203"/>
      <c r="AS277" s="203"/>
      <c r="AT277" s="205">
        <v>0</v>
      </c>
      <c r="AU277" s="180"/>
      <c r="AV277" s="180"/>
    </row>
    <row r="278" spans="1:48" ht="13.5" hidden="1" customHeight="1">
      <c r="A278" s="178">
        <v>520540</v>
      </c>
      <c r="B278" s="178"/>
      <c r="D278" s="201" t="s">
        <v>671</v>
      </c>
      <c r="E278" s="180" t="s">
        <v>370</v>
      </c>
      <c r="F278" s="202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5">
        <v>0</v>
      </c>
      <c r="S278" s="180"/>
      <c r="T278" s="235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7">
        <v>0</v>
      </c>
      <c r="AG278" s="180"/>
      <c r="AH278" s="202"/>
      <c r="AI278" s="203"/>
      <c r="AJ278" s="203"/>
      <c r="AK278" s="203"/>
      <c r="AL278" s="203"/>
      <c r="AM278" s="203"/>
      <c r="AN278" s="203"/>
      <c r="AO278" s="203"/>
      <c r="AP278" s="203"/>
      <c r="AQ278" s="203"/>
      <c r="AR278" s="203"/>
      <c r="AS278" s="203"/>
      <c r="AT278" s="205">
        <v>0</v>
      </c>
      <c r="AU278" s="180"/>
      <c r="AV278" s="180"/>
    </row>
    <row r="279" spans="1:48" ht="13.5" hidden="1" customHeight="1">
      <c r="A279" s="178">
        <v>520550</v>
      </c>
      <c r="B279" s="178"/>
      <c r="D279" s="201" t="s">
        <v>672</v>
      </c>
      <c r="E279" s="180" t="s">
        <v>370</v>
      </c>
      <c r="F279" s="202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5">
        <v>0</v>
      </c>
      <c r="S279" s="180"/>
      <c r="T279" s="235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7">
        <v>0</v>
      </c>
      <c r="AG279" s="180"/>
      <c r="AH279" s="202"/>
      <c r="AI279" s="203"/>
      <c r="AJ279" s="203"/>
      <c r="AK279" s="203"/>
      <c r="AL279" s="203"/>
      <c r="AM279" s="203"/>
      <c r="AN279" s="203"/>
      <c r="AO279" s="203"/>
      <c r="AP279" s="203"/>
      <c r="AQ279" s="203"/>
      <c r="AR279" s="203"/>
      <c r="AS279" s="203"/>
      <c r="AT279" s="205">
        <v>0</v>
      </c>
      <c r="AU279" s="180"/>
      <c r="AV279" s="180"/>
    </row>
    <row r="280" spans="1:48" ht="13.5" hidden="1" customHeight="1">
      <c r="A280" s="178">
        <v>520560</v>
      </c>
      <c r="B280" s="178"/>
      <c r="D280" s="201" t="s">
        <v>673</v>
      </c>
      <c r="E280" s="180" t="s">
        <v>370</v>
      </c>
      <c r="F280" s="202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5">
        <v>0</v>
      </c>
      <c r="S280" s="180"/>
      <c r="T280" s="235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7">
        <v>0</v>
      </c>
      <c r="AG280" s="180"/>
      <c r="AH280" s="202"/>
      <c r="AI280" s="203"/>
      <c r="AJ280" s="203"/>
      <c r="AK280" s="203"/>
      <c r="AL280" s="203"/>
      <c r="AM280" s="203"/>
      <c r="AN280" s="203"/>
      <c r="AO280" s="203"/>
      <c r="AP280" s="203"/>
      <c r="AQ280" s="203"/>
      <c r="AR280" s="203"/>
      <c r="AS280" s="203"/>
      <c r="AT280" s="205">
        <v>0</v>
      </c>
      <c r="AU280" s="180"/>
      <c r="AV280" s="180"/>
    </row>
    <row r="281" spans="1:48" ht="13.5" hidden="1" customHeight="1">
      <c r="A281" s="178">
        <v>530110</v>
      </c>
      <c r="B281" s="178">
        <v>51002190</v>
      </c>
      <c r="D281" s="201" t="s">
        <v>674</v>
      </c>
      <c r="E281" s="180" t="s">
        <v>370</v>
      </c>
      <c r="F281" s="202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5">
        <v>0</v>
      </c>
      <c r="S281" s="180"/>
      <c r="T281" s="235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7">
        <v>0</v>
      </c>
      <c r="AG281" s="180"/>
      <c r="AH281" s="202"/>
      <c r="AI281" s="203"/>
      <c r="AJ281" s="203"/>
      <c r="AK281" s="203"/>
      <c r="AL281" s="203"/>
      <c r="AM281" s="203"/>
      <c r="AN281" s="203"/>
      <c r="AO281" s="203"/>
      <c r="AP281" s="203"/>
      <c r="AQ281" s="203"/>
      <c r="AR281" s="203"/>
      <c r="AS281" s="203"/>
      <c r="AT281" s="205">
        <v>0</v>
      </c>
      <c r="AU281" s="180"/>
      <c r="AV281" s="180"/>
    </row>
    <row r="282" spans="1:48" ht="13.5" hidden="1" customHeight="1">
      <c r="A282" s="178">
        <v>530120</v>
      </c>
      <c r="B282" s="178">
        <v>51006130</v>
      </c>
      <c r="D282" s="201" t="s">
        <v>675</v>
      </c>
      <c r="E282" s="180" t="s">
        <v>370</v>
      </c>
      <c r="F282" s="202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5">
        <v>0</v>
      </c>
      <c r="S282" s="180"/>
      <c r="T282" s="235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7">
        <v>0</v>
      </c>
      <c r="AG282" s="180"/>
      <c r="AH282" s="202"/>
      <c r="AI282" s="203"/>
      <c r="AJ282" s="203"/>
      <c r="AK282" s="203"/>
      <c r="AL282" s="203"/>
      <c r="AM282" s="203"/>
      <c r="AN282" s="203"/>
      <c r="AO282" s="203"/>
      <c r="AP282" s="203"/>
      <c r="AQ282" s="203"/>
      <c r="AR282" s="203"/>
      <c r="AS282" s="203"/>
      <c r="AT282" s="205">
        <v>0</v>
      </c>
      <c r="AU282" s="180"/>
      <c r="AV282" s="180"/>
    </row>
    <row r="283" spans="1:48" ht="13.5" hidden="1" customHeight="1">
      <c r="A283" s="178">
        <v>530130</v>
      </c>
      <c r="B283" s="178"/>
      <c r="D283" s="201" t="s">
        <v>676</v>
      </c>
      <c r="E283" s="180" t="s">
        <v>370</v>
      </c>
      <c r="F283" s="202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5">
        <v>0</v>
      </c>
      <c r="S283" s="180"/>
      <c r="T283" s="235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7">
        <v>0</v>
      </c>
      <c r="AG283" s="180"/>
      <c r="AH283" s="202"/>
      <c r="AI283" s="203"/>
      <c r="AJ283" s="203"/>
      <c r="AK283" s="203"/>
      <c r="AL283" s="203"/>
      <c r="AM283" s="203"/>
      <c r="AN283" s="203"/>
      <c r="AO283" s="203"/>
      <c r="AP283" s="203"/>
      <c r="AQ283" s="203"/>
      <c r="AR283" s="203"/>
      <c r="AS283" s="203"/>
      <c r="AT283" s="205">
        <v>0</v>
      </c>
      <c r="AU283" s="180"/>
      <c r="AV283" s="180"/>
    </row>
    <row r="284" spans="1:48" ht="13.5" hidden="1" customHeight="1">
      <c r="A284" s="178">
        <v>530140</v>
      </c>
      <c r="B284" s="178"/>
      <c r="D284" s="201" t="s">
        <v>677</v>
      </c>
      <c r="E284" s="180" t="s">
        <v>370</v>
      </c>
      <c r="F284" s="202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5">
        <v>0</v>
      </c>
      <c r="S284" s="180"/>
      <c r="T284" s="235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7">
        <v>0</v>
      </c>
      <c r="AG284" s="180"/>
      <c r="AH284" s="202"/>
      <c r="AI284" s="203"/>
      <c r="AJ284" s="203"/>
      <c r="AK284" s="203"/>
      <c r="AL284" s="203"/>
      <c r="AM284" s="203"/>
      <c r="AN284" s="203"/>
      <c r="AO284" s="203"/>
      <c r="AP284" s="203"/>
      <c r="AQ284" s="203"/>
      <c r="AR284" s="203"/>
      <c r="AS284" s="203"/>
      <c r="AT284" s="205">
        <v>0</v>
      </c>
      <c r="AU284" s="180"/>
      <c r="AV284" s="180"/>
    </row>
    <row r="285" spans="1:48" ht="13.5" hidden="1" customHeight="1">
      <c r="A285" s="178">
        <v>530150</v>
      </c>
      <c r="B285" s="178"/>
      <c r="D285" s="201" t="s">
        <v>678</v>
      </c>
      <c r="E285" s="180" t="s">
        <v>370</v>
      </c>
      <c r="F285" s="202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5">
        <v>0</v>
      </c>
      <c r="S285" s="180"/>
      <c r="T285" s="235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7">
        <v>0</v>
      </c>
      <c r="AG285" s="180"/>
      <c r="AH285" s="202"/>
      <c r="AI285" s="203"/>
      <c r="AJ285" s="203"/>
      <c r="AK285" s="203"/>
      <c r="AL285" s="203"/>
      <c r="AM285" s="203"/>
      <c r="AN285" s="203"/>
      <c r="AO285" s="203"/>
      <c r="AP285" s="203"/>
      <c r="AQ285" s="203"/>
      <c r="AR285" s="203"/>
      <c r="AS285" s="203"/>
      <c r="AT285" s="205">
        <v>0</v>
      </c>
      <c r="AU285" s="180"/>
      <c r="AV285" s="180"/>
    </row>
    <row r="286" spans="1:48" ht="13.5" hidden="1" customHeight="1">
      <c r="A286" s="178">
        <v>540110</v>
      </c>
      <c r="B286" s="178">
        <v>51007110</v>
      </c>
      <c r="D286" s="273" t="s">
        <v>679</v>
      </c>
      <c r="E286" s="180" t="s">
        <v>370</v>
      </c>
      <c r="F286" s="202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5">
        <v>0</v>
      </c>
      <c r="S286" s="180"/>
      <c r="T286" s="235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7">
        <v>0</v>
      </c>
      <c r="AG286" s="180"/>
      <c r="AH286" s="202"/>
      <c r="AI286" s="203"/>
      <c r="AJ286" s="203"/>
      <c r="AK286" s="203"/>
      <c r="AL286" s="203"/>
      <c r="AM286" s="203"/>
      <c r="AN286" s="203"/>
      <c r="AO286" s="203"/>
      <c r="AP286" s="203"/>
      <c r="AQ286" s="203"/>
      <c r="AR286" s="203"/>
      <c r="AS286" s="203"/>
      <c r="AT286" s="205">
        <v>0</v>
      </c>
      <c r="AU286" s="180"/>
      <c r="AV286" s="180"/>
    </row>
    <row r="287" spans="1:48" ht="13.5" hidden="1" customHeight="1">
      <c r="A287" s="178">
        <v>540115</v>
      </c>
      <c r="B287" s="178">
        <v>51007115</v>
      </c>
      <c r="D287" s="273" t="s">
        <v>680</v>
      </c>
      <c r="E287" s="180" t="s">
        <v>370</v>
      </c>
      <c r="F287" s="202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5">
        <v>0</v>
      </c>
      <c r="S287" s="180"/>
      <c r="T287" s="235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7">
        <v>0</v>
      </c>
      <c r="AG287" s="180"/>
      <c r="AH287" s="202"/>
      <c r="AI287" s="203"/>
      <c r="AJ287" s="203"/>
      <c r="AK287" s="203"/>
      <c r="AL287" s="203"/>
      <c r="AM287" s="203"/>
      <c r="AN287" s="203"/>
      <c r="AO287" s="203"/>
      <c r="AP287" s="203"/>
      <c r="AQ287" s="203"/>
      <c r="AR287" s="203"/>
      <c r="AS287" s="203"/>
      <c r="AT287" s="205">
        <v>0</v>
      </c>
      <c r="AU287" s="180"/>
      <c r="AV287" s="180"/>
    </row>
    <row r="288" spans="1:48" ht="13.5" hidden="1" customHeight="1">
      <c r="A288" s="178">
        <v>540118</v>
      </c>
      <c r="B288" s="178">
        <v>51007118</v>
      </c>
      <c r="D288" s="273" t="s">
        <v>681</v>
      </c>
      <c r="E288" s="180" t="s">
        <v>370</v>
      </c>
      <c r="F288" s="202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5">
        <v>0</v>
      </c>
      <c r="S288" s="180"/>
      <c r="T288" s="235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7">
        <v>0</v>
      </c>
      <c r="AG288" s="180"/>
      <c r="AH288" s="202">
        <v>-31790.09</v>
      </c>
      <c r="AI288" s="203">
        <v>-31790.09</v>
      </c>
      <c r="AJ288" s="203">
        <v>-31790.09</v>
      </c>
      <c r="AK288" s="203">
        <v>-31790.09</v>
      </c>
      <c r="AL288" s="203">
        <v>-31790.09</v>
      </c>
      <c r="AM288" s="203">
        <v>-31790.09</v>
      </c>
      <c r="AN288" s="203">
        <v>-31790.09</v>
      </c>
      <c r="AO288" s="203">
        <v>-30203.57</v>
      </c>
      <c r="AP288" s="203">
        <v>-29584.73</v>
      </c>
      <c r="AQ288" s="222"/>
      <c r="AR288" s="203"/>
      <c r="AS288" s="203"/>
      <c r="AT288" s="205">
        <v>-282318.93</v>
      </c>
      <c r="AU288" s="180"/>
      <c r="AV288" s="180"/>
    </row>
    <row r="289" spans="1:48" ht="13.5" hidden="1" customHeight="1">
      <c r="A289" s="178">
        <v>540120</v>
      </c>
      <c r="B289" s="178">
        <v>51007120</v>
      </c>
      <c r="D289" s="273" t="s">
        <v>682</v>
      </c>
      <c r="E289" s="180" t="s">
        <v>370</v>
      </c>
      <c r="F289" s="274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5">
        <v>0</v>
      </c>
      <c r="S289" s="180"/>
      <c r="T289" s="235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7">
        <v>0</v>
      </c>
      <c r="AG289" s="180"/>
      <c r="AH289" s="274"/>
      <c r="AI289" s="203"/>
      <c r="AJ289" s="203"/>
      <c r="AK289" s="203"/>
      <c r="AL289" s="203"/>
      <c r="AM289" s="203"/>
      <c r="AN289" s="203"/>
      <c r="AO289" s="203"/>
      <c r="AP289" s="203"/>
      <c r="AQ289" s="203"/>
      <c r="AR289" s="203"/>
      <c r="AS289" s="203"/>
      <c r="AT289" s="205">
        <v>0</v>
      </c>
      <c r="AU289" s="180"/>
      <c r="AV289" s="180"/>
    </row>
    <row r="290" spans="1:48" ht="13.5" hidden="1" customHeight="1">
      <c r="A290" s="178">
        <v>540123</v>
      </c>
      <c r="B290" s="178">
        <v>51007123</v>
      </c>
      <c r="D290" s="273" t="s">
        <v>683</v>
      </c>
      <c r="E290" s="180" t="s">
        <v>370</v>
      </c>
      <c r="F290" s="202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5">
        <v>0</v>
      </c>
      <c r="S290" s="180"/>
      <c r="T290" s="235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7">
        <v>0</v>
      </c>
      <c r="AG290" s="180"/>
      <c r="AH290" s="202"/>
      <c r="AI290" s="203"/>
      <c r="AJ290" s="203"/>
      <c r="AK290" s="203"/>
      <c r="AL290" s="203"/>
      <c r="AM290" s="203"/>
      <c r="AN290" s="203"/>
      <c r="AO290" s="203"/>
      <c r="AP290" s="203"/>
      <c r="AQ290" s="203"/>
      <c r="AR290" s="203"/>
      <c r="AS290" s="203"/>
      <c r="AT290" s="205">
        <v>0</v>
      </c>
      <c r="AU290" s="180"/>
      <c r="AV290" s="180"/>
    </row>
    <row r="291" spans="1:48" ht="13.5" hidden="1" customHeight="1">
      <c r="A291" s="178">
        <v>540125</v>
      </c>
      <c r="B291" s="178">
        <v>51007125</v>
      </c>
      <c r="D291" s="273" t="s">
        <v>684</v>
      </c>
      <c r="E291" s="180" t="s">
        <v>370</v>
      </c>
      <c r="F291" s="202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5">
        <v>0</v>
      </c>
      <c r="S291" s="180"/>
      <c r="T291" s="235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7">
        <v>0</v>
      </c>
      <c r="AG291" s="180"/>
      <c r="AH291" s="202">
        <v>-0.23</v>
      </c>
      <c r="AI291" s="203"/>
      <c r="AJ291" s="203"/>
      <c r="AK291" s="203"/>
      <c r="AL291" s="203"/>
      <c r="AM291" s="203"/>
      <c r="AN291" s="203"/>
      <c r="AO291" s="203"/>
      <c r="AP291" s="203"/>
      <c r="AQ291" s="203"/>
      <c r="AR291" s="203"/>
      <c r="AS291" s="203"/>
      <c r="AT291" s="205">
        <v>-0.23</v>
      </c>
      <c r="AU291" s="180"/>
      <c r="AV291" s="180"/>
    </row>
    <row r="292" spans="1:48" ht="13.5" hidden="1" customHeight="1">
      <c r="A292" s="178">
        <v>540130</v>
      </c>
      <c r="B292" s="178">
        <v>51007130</v>
      </c>
      <c r="D292" s="273" t="s">
        <v>685</v>
      </c>
      <c r="E292" s="180" t="s">
        <v>370</v>
      </c>
      <c r="F292" s="202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5">
        <v>0</v>
      </c>
      <c r="S292" s="180"/>
      <c r="T292" s="235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7">
        <v>0</v>
      </c>
      <c r="AG292" s="180"/>
      <c r="AH292" s="202">
        <v>-0.36</v>
      </c>
      <c r="AI292" s="203"/>
      <c r="AJ292" s="203"/>
      <c r="AK292" s="203"/>
      <c r="AL292" s="203"/>
      <c r="AM292" s="203"/>
      <c r="AN292" s="203"/>
      <c r="AO292" s="203"/>
      <c r="AP292" s="203"/>
      <c r="AQ292" s="203"/>
      <c r="AR292" s="203"/>
      <c r="AS292" s="203"/>
      <c r="AT292" s="205">
        <v>-0.36</v>
      </c>
      <c r="AU292" s="180"/>
      <c r="AV292" s="180"/>
    </row>
    <row r="293" spans="1:48" ht="13.5" hidden="1" customHeight="1">
      <c r="A293" s="178">
        <v>540135</v>
      </c>
      <c r="B293" s="178">
        <v>51007135</v>
      </c>
      <c r="D293" s="273" t="s">
        <v>686</v>
      </c>
      <c r="E293" s="180" t="s">
        <v>370</v>
      </c>
      <c r="F293" s="202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5">
        <v>0</v>
      </c>
      <c r="S293" s="180"/>
      <c r="T293" s="235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7">
        <v>0</v>
      </c>
      <c r="AG293" s="180"/>
      <c r="AH293" s="202"/>
      <c r="AI293" s="203"/>
      <c r="AJ293" s="203"/>
      <c r="AK293" s="203"/>
      <c r="AL293" s="203"/>
      <c r="AM293" s="203"/>
      <c r="AN293" s="203"/>
      <c r="AO293" s="203"/>
      <c r="AP293" s="203"/>
      <c r="AQ293" s="203"/>
      <c r="AR293" s="203"/>
      <c r="AS293" s="203"/>
      <c r="AT293" s="205">
        <v>0</v>
      </c>
      <c r="AU293" s="180"/>
      <c r="AV293" s="180"/>
    </row>
    <row r="294" spans="1:48" ht="13.5" hidden="1" customHeight="1">
      <c r="A294" s="178"/>
      <c r="B294" s="178"/>
      <c r="D294" s="273" t="s">
        <v>687</v>
      </c>
      <c r="E294" s="180"/>
      <c r="F294" s="202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5">
        <v>0</v>
      </c>
      <c r="S294" s="180"/>
      <c r="T294" s="235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7">
        <v>0</v>
      </c>
      <c r="AG294" s="180"/>
      <c r="AH294" s="202"/>
      <c r="AI294" s="203"/>
      <c r="AJ294" s="203"/>
      <c r="AK294" s="203"/>
      <c r="AL294" s="203"/>
      <c r="AM294" s="203"/>
      <c r="AN294" s="203"/>
      <c r="AO294" s="203"/>
      <c r="AP294" s="203"/>
      <c r="AQ294" s="203"/>
      <c r="AR294" s="203"/>
      <c r="AS294" s="203"/>
      <c r="AT294" s="205">
        <v>0</v>
      </c>
      <c r="AU294" s="180"/>
      <c r="AV294" s="180"/>
    </row>
    <row r="295" spans="1:48" ht="13.5" hidden="1" customHeight="1">
      <c r="A295" s="178">
        <v>540140</v>
      </c>
      <c r="B295" s="178">
        <v>51007140</v>
      </c>
      <c r="D295" s="273" t="s">
        <v>688</v>
      </c>
      <c r="E295" s="180" t="s">
        <v>370</v>
      </c>
      <c r="F295" s="202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5">
        <v>0</v>
      </c>
      <c r="S295" s="180"/>
      <c r="T295" s="235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7">
        <v>0</v>
      </c>
      <c r="AG295" s="180"/>
      <c r="AH295" s="202">
        <v>-0.11</v>
      </c>
      <c r="AI295" s="203"/>
      <c r="AJ295" s="203"/>
      <c r="AK295" s="203"/>
      <c r="AL295" s="203"/>
      <c r="AM295" s="203"/>
      <c r="AN295" s="203"/>
      <c r="AO295" s="203"/>
      <c r="AP295" s="203"/>
      <c r="AQ295" s="203"/>
      <c r="AR295" s="203"/>
      <c r="AS295" s="203"/>
      <c r="AT295" s="205">
        <v>-0.11</v>
      </c>
      <c r="AU295" s="180"/>
      <c r="AV295" s="180"/>
    </row>
    <row r="296" spans="1:48" ht="13.5" hidden="1" customHeight="1">
      <c r="A296" s="178">
        <v>540145</v>
      </c>
      <c r="B296" s="178"/>
      <c r="D296" s="273" t="s">
        <v>689</v>
      </c>
      <c r="E296" s="180" t="s">
        <v>370</v>
      </c>
      <c r="F296" s="202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5">
        <v>0</v>
      </c>
      <c r="S296" s="180"/>
      <c r="T296" s="235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7">
        <v>0</v>
      </c>
      <c r="AG296" s="180"/>
      <c r="AH296" s="202"/>
      <c r="AI296" s="203"/>
      <c r="AJ296" s="203"/>
      <c r="AK296" s="203"/>
      <c r="AL296" s="203"/>
      <c r="AM296" s="203"/>
      <c r="AN296" s="203"/>
      <c r="AO296" s="203"/>
      <c r="AP296" s="203"/>
      <c r="AQ296" s="203"/>
      <c r="AR296" s="203"/>
      <c r="AS296" s="203"/>
      <c r="AT296" s="205">
        <v>0</v>
      </c>
      <c r="AU296" s="180"/>
      <c r="AV296" s="180"/>
    </row>
    <row r="297" spans="1:48" ht="13.5" hidden="1" customHeight="1">
      <c r="A297" s="178">
        <v>540150</v>
      </c>
      <c r="B297" s="178">
        <v>51007150</v>
      </c>
      <c r="D297" s="201" t="s">
        <v>690</v>
      </c>
      <c r="E297" s="180" t="s">
        <v>370</v>
      </c>
      <c r="F297" s="202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5">
        <v>0</v>
      </c>
      <c r="S297" s="180"/>
      <c r="T297" s="235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7">
        <v>0</v>
      </c>
      <c r="AG297" s="180"/>
      <c r="AH297" s="202"/>
      <c r="AI297" s="203"/>
      <c r="AJ297" s="203"/>
      <c r="AK297" s="203"/>
      <c r="AL297" s="203"/>
      <c r="AM297" s="203"/>
      <c r="AN297" s="203"/>
      <c r="AO297" s="203"/>
      <c r="AP297" s="203"/>
      <c r="AQ297" s="203"/>
      <c r="AR297" s="203"/>
      <c r="AS297" s="203"/>
      <c r="AT297" s="205">
        <v>0</v>
      </c>
      <c r="AU297" s="180"/>
      <c r="AV297" s="180"/>
    </row>
    <row r="298" spans="1:48" ht="13.5" hidden="1" customHeight="1">
      <c r="A298" s="227"/>
      <c r="B298" s="227"/>
      <c r="D298" s="228" t="s">
        <v>691</v>
      </c>
      <c r="E298" s="229" t="s">
        <v>370</v>
      </c>
      <c r="F298" s="230">
        <v>0</v>
      </c>
      <c r="G298" s="231">
        <v>0</v>
      </c>
      <c r="H298" s="231">
        <v>0</v>
      </c>
      <c r="I298" s="231">
        <v>0</v>
      </c>
      <c r="J298" s="231">
        <v>0</v>
      </c>
      <c r="K298" s="231">
        <v>0</v>
      </c>
      <c r="L298" s="231">
        <v>0</v>
      </c>
      <c r="M298" s="231">
        <v>0</v>
      </c>
      <c r="N298" s="231">
        <v>0</v>
      </c>
      <c r="O298" s="231">
        <v>0</v>
      </c>
      <c r="P298" s="231">
        <v>0</v>
      </c>
      <c r="Q298" s="231">
        <v>0</v>
      </c>
      <c r="R298" s="232">
        <v>0</v>
      </c>
      <c r="S298" s="229"/>
      <c r="T298" s="241">
        <v>0</v>
      </c>
      <c r="U298" s="242">
        <v>0</v>
      </c>
      <c r="V298" s="242">
        <v>0</v>
      </c>
      <c r="W298" s="242">
        <v>0</v>
      </c>
      <c r="X298" s="242">
        <v>0</v>
      </c>
      <c r="Y298" s="242">
        <v>0</v>
      </c>
      <c r="Z298" s="242">
        <v>0</v>
      </c>
      <c r="AA298" s="242">
        <v>0</v>
      </c>
      <c r="AB298" s="242">
        <v>0</v>
      </c>
      <c r="AC298" s="242">
        <v>0</v>
      </c>
      <c r="AD298" s="242">
        <v>0</v>
      </c>
      <c r="AE298" s="242">
        <v>0</v>
      </c>
      <c r="AF298" s="243">
        <v>0</v>
      </c>
      <c r="AG298" s="229"/>
      <c r="AH298" s="230">
        <v>-31790.79</v>
      </c>
      <c r="AI298" s="231">
        <v>-31790.09</v>
      </c>
      <c r="AJ298" s="231">
        <v>-31790.09</v>
      </c>
      <c r="AK298" s="231">
        <v>-31790.09</v>
      </c>
      <c r="AL298" s="231">
        <v>-31790.09</v>
      </c>
      <c r="AM298" s="231">
        <v>-31790.09</v>
      </c>
      <c r="AN298" s="231">
        <v>-31790.09</v>
      </c>
      <c r="AO298" s="231">
        <v>-30203.57</v>
      </c>
      <c r="AP298" s="231">
        <v>-29584.73</v>
      </c>
      <c r="AQ298" s="231">
        <v>0</v>
      </c>
      <c r="AR298" s="231">
        <v>0</v>
      </c>
      <c r="AS298" s="231">
        <v>0</v>
      </c>
      <c r="AT298" s="232">
        <v>-282319.63</v>
      </c>
      <c r="AU298" s="229"/>
      <c r="AV298" s="229"/>
    </row>
    <row r="299" spans="1:48" ht="13.5" hidden="1" customHeight="1">
      <c r="A299" s="206"/>
      <c r="B299" s="244"/>
      <c r="D299" s="245" t="s">
        <v>692</v>
      </c>
      <c r="E299" s="161" t="s">
        <v>370</v>
      </c>
      <c r="F299" s="246">
        <v>-2291998.7400000002</v>
      </c>
      <c r="G299" s="247">
        <v>-2327255.4900000002</v>
      </c>
      <c r="H299" s="247">
        <v>-2191015.7999999998</v>
      </c>
      <c r="I299" s="247">
        <v>0</v>
      </c>
      <c r="J299" s="247">
        <v>0</v>
      </c>
      <c r="K299" s="247">
        <v>0</v>
      </c>
      <c r="L299" s="247">
        <v>0</v>
      </c>
      <c r="M299" s="247">
        <v>0</v>
      </c>
      <c r="N299" s="247">
        <v>0</v>
      </c>
      <c r="O299" s="247">
        <v>0</v>
      </c>
      <c r="P299" s="247">
        <v>0</v>
      </c>
      <c r="Q299" s="247">
        <v>0</v>
      </c>
      <c r="R299" s="248">
        <v>-6810270.0300000003</v>
      </c>
      <c r="S299" s="161"/>
      <c r="T299" s="246">
        <v>-2722235.5489523802</v>
      </c>
      <c r="U299" s="247">
        <v>-2716270.42625238</v>
      </c>
      <c r="V299" s="247">
        <v>-2714749.1662523798</v>
      </c>
      <c r="W299" s="247">
        <v>-2715008.8646650799</v>
      </c>
      <c r="X299" s="247">
        <v>-2717885.8646650799</v>
      </c>
      <c r="Y299" s="247">
        <v>-2714945.8646650799</v>
      </c>
      <c r="Z299" s="247">
        <v>-2692620.3646650799</v>
      </c>
      <c r="AA299" s="247">
        <v>-2693771.0946650798</v>
      </c>
      <c r="AB299" s="247">
        <v>-2697149.0346650798</v>
      </c>
      <c r="AC299" s="247">
        <v>-2694744.65037937</v>
      </c>
      <c r="AD299" s="247">
        <v>-2695328.2203793698</v>
      </c>
      <c r="AE299" s="247">
        <v>-2695065.9103793702</v>
      </c>
      <c r="AF299" s="248">
        <v>-8153255.1414571404</v>
      </c>
      <c r="AG299" s="161"/>
      <c r="AH299" s="246">
        <v>-2025083.35336031</v>
      </c>
      <c r="AI299" s="247">
        <v>-2324742.8451993498</v>
      </c>
      <c r="AJ299" s="247">
        <v>-2603309.61</v>
      </c>
      <c r="AK299" s="247">
        <v>-2398605.48</v>
      </c>
      <c r="AL299" s="247">
        <v>-2299722.34</v>
      </c>
      <c r="AM299" s="247">
        <v>-2252086.4900000002</v>
      </c>
      <c r="AN299" s="247">
        <v>-2565432.13</v>
      </c>
      <c r="AO299" s="247">
        <v>-2845789.67</v>
      </c>
      <c r="AP299" s="247">
        <v>-2743426.94</v>
      </c>
      <c r="AQ299" s="247">
        <v>-2292486.37</v>
      </c>
      <c r="AR299" s="247">
        <v>-2472137.17</v>
      </c>
      <c r="AS299" s="247">
        <v>-2713881.56</v>
      </c>
      <c r="AT299" s="248">
        <v>-29536703.958559699</v>
      </c>
      <c r="AU299" s="161"/>
      <c r="AV299" s="161"/>
    </row>
    <row r="300" spans="1:48" ht="13.5" hidden="1" customHeight="1">
      <c r="A300" s="206"/>
      <c r="B300" s="206"/>
      <c r="D300" s="275" t="s">
        <v>693</v>
      </c>
      <c r="E300" s="276" t="s">
        <v>370</v>
      </c>
      <c r="F300" s="277">
        <v>-3650288.5</v>
      </c>
      <c r="G300" s="278">
        <v>-3335639.11</v>
      </c>
      <c r="H300" s="278">
        <v>-3469862.78</v>
      </c>
      <c r="I300" s="278">
        <v>0</v>
      </c>
      <c r="J300" s="278">
        <v>0</v>
      </c>
      <c r="K300" s="278">
        <v>0</v>
      </c>
      <c r="L300" s="278">
        <v>0</v>
      </c>
      <c r="M300" s="278">
        <v>0</v>
      </c>
      <c r="N300" s="278">
        <v>0</v>
      </c>
      <c r="O300" s="278">
        <v>0</v>
      </c>
      <c r="P300" s="278">
        <v>0</v>
      </c>
      <c r="Q300" s="278">
        <v>0</v>
      </c>
      <c r="R300" s="279">
        <v>-10455790.390000001</v>
      </c>
      <c r="S300" s="276"/>
      <c r="T300" s="277">
        <v>-3737156.0291666701</v>
      </c>
      <c r="U300" s="278">
        <v>-3737156.0291666701</v>
      </c>
      <c r="V300" s="278">
        <v>-3789156.0291666701</v>
      </c>
      <c r="W300" s="278">
        <v>-3821706.0291666701</v>
      </c>
      <c r="X300" s="278">
        <v>-3821706.0291666701</v>
      </c>
      <c r="Y300" s="278">
        <v>-3855206.0291666701</v>
      </c>
      <c r="Z300" s="278">
        <v>-3993506.0291666701</v>
      </c>
      <c r="AA300" s="278">
        <v>-3993506.0291666701</v>
      </c>
      <c r="AB300" s="278">
        <v>-4008506.0291666701</v>
      </c>
      <c r="AC300" s="278">
        <v>-4110806.0291666701</v>
      </c>
      <c r="AD300" s="278">
        <v>-4125606.0291666701</v>
      </c>
      <c r="AE300" s="278">
        <v>-4125606.0291666701</v>
      </c>
      <c r="AF300" s="279">
        <v>-11263468.0875</v>
      </c>
      <c r="AG300" s="276"/>
      <c r="AH300" s="277">
        <v>-3937342.96</v>
      </c>
      <c r="AI300" s="278">
        <v>-3362297.33</v>
      </c>
      <c r="AJ300" s="278">
        <v>-3801044.06</v>
      </c>
      <c r="AK300" s="278">
        <v>-3863586.94</v>
      </c>
      <c r="AL300" s="278">
        <v>-3719961.27</v>
      </c>
      <c r="AM300" s="278">
        <v>-3495236.15</v>
      </c>
      <c r="AN300" s="278">
        <v>-3661065.93</v>
      </c>
      <c r="AO300" s="278">
        <v>-4077008.82</v>
      </c>
      <c r="AP300" s="278">
        <v>-3501030.21</v>
      </c>
      <c r="AQ300" s="278">
        <v>-3408068.67</v>
      </c>
      <c r="AR300" s="278">
        <v>-3155913.38</v>
      </c>
      <c r="AS300" s="278">
        <v>-2921610.04</v>
      </c>
      <c r="AT300" s="279">
        <v>-42904165.759999998</v>
      </c>
      <c r="AU300" s="276"/>
      <c r="AV300" s="276"/>
    </row>
    <row r="301" spans="1:48" ht="13.5" hidden="1" customHeight="1">
      <c r="A301" s="206"/>
      <c r="B301" s="206"/>
      <c r="D301" s="280" t="s">
        <v>694</v>
      </c>
      <c r="E301" s="276" t="s">
        <v>370</v>
      </c>
      <c r="F301" s="281">
        <v>0.42960766038900799</v>
      </c>
      <c r="G301" s="282">
        <v>0.433449389705646</v>
      </c>
      <c r="H301" s="282">
        <v>0.45759906335710998</v>
      </c>
      <c r="I301" s="282"/>
      <c r="J301" s="282"/>
      <c r="K301" s="282"/>
      <c r="L301" s="282"/>
      <c r="M301" s="282"/>
      <c r="N301" s="282"/>
      <c r="O301" s="282"/>
      <c r="P301" s="282"/>
      <c r="Q301" s="282"/>
      <c r="R301" s="283">
        <v>0.43977864174842701</v>
      </c>
      <c r="S301" s="276"/>
      <c r="T301" s="281">
        <v>0.45308063549032002</v>
      </c>
      <c r="U301" s="282">
        <v>0.44305219268243001</v>
      </c>
      <c r="V301" s="282">
        <v>0.43905394891150901</v>
      </c>
      <c r="W301" s="282">
        <v>0.42011399674971101</v>
      </c>
      <c r="X301" s="282">
        <v>0.42027569755974697</v>
      </c>
      <c r="Y301" s="282">
        <v>0.41526025507860598</v>
      </c>
      <c r="Z301" s="282">
        <v>0.39800411519455198</v>
      </c>
      <c r="AA301" s="282">
        <v>0.402253627118216</v>
      </c>
      <c r="AB301" s="282">
        <v>0.40135548684728001</v>
      </c>
      <c r="AC301" s="282">
        <v>0.395999960554835</v>
      </c>
      <c r="AD301" s="282">
        <v>0.39370886421087498</v>
      </c>
      <c r="AE301" s="282">
        <v>0.39035619255704901</v>
      </c>
      <c r="AF301" s="283">
        <v>0.444956776161612</v>
      </c>
      <c r="AG301" s="276"/>
      <c r="AH301" s="281">
        <v>0.38190037801100202</v>
      </c>
      <c r="AI301" s="282">
        <v>0.35580381521422799</v>
      </c>
      <c r="AJ301" s="282">
        <v>0.37668026934755</v>
      </c>
      <c r="AK301" s="282">
        <v>0.41562270977649901</v>
      </c>
      <c r="AL301" s="282">
        <v>0.42841732801813798</v>
      </c>
      <c r="AM301" s="282">
        <v>0.44769012313773199</v>
      </c>
      <c r="AN301" s="282">
        <v>0.47930496993147997</v>
      </c>
      <c r="AO301" s="282">
        <v>0.48285150605215899</v>
      </c>
      <c r="AP301" s="282">
        <v>0.39750860537392702</v>
      </c>
      <c r="AQ301" s="282">
        <v>0.388359893154409</v>
      </c>
      <c r="AR301" s="282">
        <v>0.36343881504353298</v>
      </c>
      <c r="AS301" s="282">
        <v>0.33861305761986599</v>
      </c>
      <c r="AT301" s="283">
        <v>0.402427731546671</v>
      </c>
      <c r="AU301" s="276"/>
      <c r="AV301" s="276"/>
    </row>
    <row r="302" spans="1:48" ht="13.5" hidden="1" customHeight="1">
      <c r="A302" s="284"/>
      <c r="B302" s="284"/>
      <c r="D302" s="285" t="s">
        <v>695</v>
      </c>
      <c r="E302" s="276" t="s">
        <v>370</v>
      </c>
      <c r="F302" s="286">
        <v>-1800558.45</v>
      </c>
      <c r="G302" s="287">
        <v>-1687553.15</v>
      </c>
      <c r="H302" s="287">
        <v>-1650680.11</v>
      </c>
      <c r="I302" s="287">
        <v>0</v>
      </c>
      <c r="J302" s="287">
        <v>0</v>
      </c>
      <c r="K302" s="287">
        <v>0</v>
      </c>
      <c r="L302" s="287">
        <v>0</v>
      </c>
      <c r="M302" s="287">
        <v>0</v>
      </c>
      <c r="N302" s="287">
        <v>0</v>
      </c>
      <c r="O302" s="287">
        <v>0</v>
      </c>
      <c r="P302" s="287">
        <v>0</v>
      </c>
      <c r="Q302" s="287">
        <v>0</v>
      </c>
      <c r="R302" s="288">
        <v>-5138791.71</v>
      </c>
      <c r="S302" s="276"/>
      <c r="T302" s="286">
        <v>-1763149.03025952</v>
      </c>
      <c r="U302" s="287">
        <v>-1763149.03025952</v>
      </c>
      <c r="V302" s="287">
        <v>-1863149.03025952</v>
      </c>
      <c r="W302" s="287">
        <v>-1749853.3231166699</v>
      </c>
      <c r="X302" s="287">
        <v>-1749853.3231166699</v>
      </c>
      <c r="Y302" s="287">
        <v>-1749853.3231166699</v>
      </c>
      <c r="Z302" s="287">
        <v>-1628271.2170344801</v>
      </c>
      <c r="AA302" s="287">
        <v>-1616976.6039392401</v>
      </c>
      <c r="AB302" s="287">
        <v>-1616976.6039392401</v>
      </c>
      <c r="AC302" s="287">
        <v>-1616976.6039392401</v>
      </c>
      <c r="AD302" s="287">
        <v>-1616976.6039392401</v>
      </c>
      <c r="AE302" s="287">
        <v>-1616976.6039392401</v>
      </c>
      <c r="AF302" s="279">
        <v>-5389447.0907785697</v>
      </c>
      <c r="AG302" s="276"/>
      <c r="AH302" s="286">
        <v>-2027329.47</v>
      </c>
      <c r="AI302" s="287">
        <v>-2029836.77</v>
      </c>
      <c r="AJ302" s="287">
        <v>-2121962.7799999998</v>
      </c>
      <c r="AK302" s="287">
        <v>-2057535.24</v>
      </c>
      <c r="AL302" s="287">
        <v>-2049779.15</v>
      </c>
      <c r="AM302" s="287">
        <v>-1967265.76</v>
      </c>
      <c r="AN302" s="287">
        <v>-1997879.59</v>
      </c>
      <c r="AO302" s="287">
        <v>-2026977.87</v>
      </c>
      <c r="AP302" s="287">
        <v>-1833355.9</v>
      </c>
      <c r="AQ302" s="287">
        <v>-1847779.27</v>
      </c>
      <c r="AR302" s="287">
        <v>-1847643.63</v>
      </c>
      <c r="AS302" s="287">
        <v>-1483739.61</v>
      </c>
      <c r="AT302" s="288">
        <v>-23291085.039999999</v>
      </c>
      <c r="AU302" s="276"/>
      <c r="AV302" s="276"/>
    </row>
    <row r="303" spans="1:48" ht="13.5" hidden="1" customHeight="1">
      <c r="A303" s="206"/>
      <c r="B303" s="206"/>
      <c r="D303" s="280" t="s">
        <v>696</v>
      </c>
      <c r="E303" s="276" t="s">
        <v>370</v>
      </c>
      <c r="F303" s="281">
        <v>0.21191029232296499</v>
      </c>
      <c r="G303" s="282">
        <v>0.219288975468135</v>
      </c>
      <c r="H303" s="282">
        <v>0.217688629242627</v>
      </c>
      <c r="I303" s="282"/>
      <c r="J303" s="282"/>
      <c r="K303" s="282"/>
      <c r="L303" s="282"/>
      <c r="M303" s="282"/>
      <c r="N303" s="282"/>
      <c r="O303" s="282"/>
      <c r="P303" s="282"/>
      <c r="Q303" s="282"/>
      <c r="R303" s="283">
        <v>0.21614155928501499</v>
      </c>
      <c r="S303" s="276"/>
      <c r="T303" s="281">
        <v>0.21375845077366501</v>
      </c>
      <c r="U303" s="282">
        <v>0.209027141972601</v>
      </c>
      <c r="V303" s="282">
        <v>0.215885261216334</v>
      </c>
      <c r="W303" s="282">
        <v>0.19235856125244799</v>
      </c>
      <c r="X303" s="282">
        <v>0.19243259957398101</v>
      </c>
      <c r="Y303" s="282">
        <v>0.18848396993834399</v>
      </c>
      <c r="Z303" s="282">
        <v>0.16227811860041</v>
      </c>
      <c r="AA303" s="282">
        <v>0.16287309926400201</v>
      </c>
      <c r="AB303" s="282">
        <v>0.16190132367834101</v>
      </c>
      <c r="AC303" s="282">
        <v>0.15576572254561799</v>
      </c>
      <c r="AD303" s="282">
        <v>0.15430897126186899</v>
      </c>
      <c r="AE303" s="282">
        <v>0.15299493604217099</v>
      </c>
      <c r="AF303" s="283">
        <v>0.21290698248328599</v>
      </c>
      <c r="AG303" s="276"/>
      <c r="AH303" s="281">
        <v>0.196639687934587</v>
      </c>
      <c r="AI303" s="282">
        <v>0.21480065447636201</v>
      </c>
      <c r="AJ303" s="282">
        <v>0.21028472674843901</v>
      </c>
      <c r="AK303" s="282">
        <v>0.22133793937853999</v>
      </c>
      <c r="AL303" s="282">
        <v>0.236067217568179</v>
      </c>
      <c r="AM303" s="282">
        <v>0.251978811314092</v>
      </c>
      <c r="AN303" s="282">
        <v>0.26156142367304103</v>
      </c>
      <c r="AO303" s="282">
        <v>0.24006063280086301</v>
      </c>
      <c r="AP303" s="282">
        <v>0.20816008524618301</v>
      </c>
      <c r="AQ303" s="282">
        <v>0.21056012344673</v>
      </c>
      <c r="AR303" s="282">
        <v>0.212776882840153</v>
      </c>
      <c r="AS303" s="282">
        <v>0.171964635654732</v>
      </c>
      <c r="AT303" s="283">
        <v>0.21846313410075299</v>
      </c>
      <c r="AU303" s="276"/>
      <c r="AV303" s="276"/>
    </row>
    <row r="304" spans="1:48" ht="13.5" hidden="1" customHeight="1">
      <c r="A304" s="206"/>
      <c r="B304" s="206"/>
      <c r="D304" s="289" t="s">
        <v>697</v>
      </c>
      <c r="E304" s="276" t="s">
        <v>370</v>
      </c>
      <c r="F304" s="290">
        <v>-2291998.7400000002</v>
      </c>
      <c r="G304" s="291">
        <v>-2327255.4900000002</v>
      </c>
      <c r="H304" s="291">
        <v>-2191015.7999999998</v>
      </c>
      <c r="I304" s="291">
        <v>0</v>
      </c>
      <c r="J304" s="291">
        <v>0</v>
      </c>
      <c r="K304" s="291">
        <v>0</v>
      </c>
      <c r="L304" s="291">
        <v>0</v>
      </c>
      <c r="M304" s="291">
        <v>0</v>
      </c>
      <c r="N304" s="291">
        <v>0</v>
      </c>
      <c r="O304" s="291">
        <v>0</v>
      </c>
      <c r="P304" s="291">
        <v>0</v>
      </c>
      <c r="Q304" s="291">
        <v>0</v>
      </c>
      <c r="R304" s="292">
        <v>-6810270.0300000003</v>
      </c>
      <c r="S304" s="276"/>
      <c r="T304" s="290">
        <v>-2722235.5489523802</v>
      </c>
      <c r="U304" s="291">
        <v>-2716270.42625238</v>
      </c>
      <c r="V304" s="291">
        <v>-2714749.1662523798</v>
      </c>
      <c r="W304" s="291">
        <v>-2715008.8646650799</v>
      </c>
      <c r="X304" s="291">
        <v>-2717885.8646650799</v>
      </c>
      <c r="Y304" s="291">
        <v>-2714945.8646650799</v>
      </c>
      <c r="Z304" s="291">
        <v>-2692620.3646650799</v>
      </c>
      <c r="AA304" s="291">
        <v>-2693771.0946650798</v>
      </c>
      <c r="AB304" s="291">
        <v>-2697149.0346650798</v>
      </c>
      <c r="AC304" s="291">
        <v>-2694744.65037937</v>
      </c>
      <c r="AD304" s="291">
        <v>-2695328.2203793698</v>
      </c>
      <c r="AE304" s="291">
        <v>-2695065.9103793702</v>
      </c>
      <c r="AF304" s="292">
        <v>-8153255.1414571404</v>
      </c>
      <c r="AG304" s="276"/>
      <c r="AH304" s="290">
        <v>-2025083.35336031</v>
      </c>
      <c r="AI304" s="291">
        <v>-2324742.8451993498</v>
      </c>
      <c r="AJ304" s="291">
        <v>-2603309.61</v>
      </c>
      <c r="AK304" s="291">
        <v>-2398605.48</v>
      </c>
      <c r="AL304" s="291">
        <v>-2299722.34</v>
      </c>
      <c r="AM304" s="291">
        <v>-2252086.4900000002</v>
      </c>
      <c r="AN304" s="291">
        <v>-2565432.13</v>
      </c>
      <c r="AO304" s="291">
        <v>-2845789.67</v>
      </c>
      <c r="AP304" s="291">
        <v>-2743426.94</v>
      </c>
      <c r="AQ304" s="291">
        <v>-2292486.37</v>
      </c>
      <c r="AR304" s="291">
        <v>-2472137.17</v>
      </c>
      <c r="AS304" s="291">
        <v>-2713881.56</v>
      </c>
      <c r="AT304" s="292">
        <v>-29536703.958559699</v>
      </c>
      <c r="AU304" s="276"/>
      <c r="AV304" s="276"/>
    </row>
    <row r="305" spans="1:48" ht="13.5" hidden="1" customHeight="1">
      <c r="A305" s="206"/>
      <c r="B305" s="206"/>
      <c r="D305" s="280" t="s">
        <v>694</v>
      </c>
      <c r="E305" s="276" t="s">
        <v>370</v>
      </c>
      <c r="F305" s="281">
        <v>0.26974860105056198</v>
      </c>
      <c r="G305" s="282">
        <v>0.30241505107835698</v>
      </c>
      <c r="H305" s="282">
        <v>0.28894709717616801</v>
      </c>
      <c r="I305" s="282"/>
      <c r="J305" s="282"/>
      <c r="K305" s="282"/>
      <c r="L305" s="282"/>
      <c r="M305" s="282"/>
      <c r="N305" s="282"/>
      <c r="O305" s="282"/>
      <c r="P305" s="282"/>
      <c r="Q305" s="282"/>
      <c r="R305" s="283">
        <v>0.28644523197384197</v>
      </c>
      <c r="S305" s="276"/>
      <c r="T305" s="281">
        <v>0.33003497923224601</v>
      </c>
      <c r="U305" s="282">
        <v>0.32202283203516902</v>
      </c>
      <c r="V305" s="282">
        <v>0.31456116680670698</v>
      </c>
      <c r="W305" s="282">
        <v>0.29845655752701999</v>
      </c>
      <c r="X305" s="282">
        <v>0.298887818409456</v>
      </c>
      <c r="Y305" s="282">
        <v>0.29243809637046198</v>
      </c>
      <c r="Z305" s="282">
        <v>0.26835416748249802</v>
      </c>
      <c r="AA305" s="282">
        <v>0.27133530925990601</v>
      </c>
      <c r="AB305" s="282">
        <v>0.27005461786288498</v>
      </c>
      <c r="AC305" s="282">
        <v>0.25958869566801301</v>
      </c>
      <c r="AD305" s="282">
        <v>0.25721666218706402</v>
      </c>
      <c r="AE305" s="282">
        <v>0.255001485849217</v>
      </c>
      <c r="AF305" s="283">
        <v>0.32208961705071798</v>
      </c>
      <c r="AG305" s="276"/>
      <c r="AH305" s="281">
        <v>0.19642182710750999</v>
      </c>
      <c r="AI305" s="282">
        <v>0.24600809878818999</v>
      </c>
      <c r="AJ305" s="282">
        <v>0.25798579274818101</v>
      </c>
      <c r="AK305" s="282">
        <v>0.25802833604214398</v>
      </c>
      <c r="AL305" s="282">
        <v>0.26485246178017802</v>
      </c>
      <c r="AM305" s="282">
        <v>0.28846030275376999</v>
      </c>
      <c r="AN305" s="282">
        <v>0.33586512601560897</v>
      </c>
      <c r="AO305" s="282">
        <v>0.33703479406924097</v>
      </c>
      <c r="AP305" s="282">
        <v>0.31148997622178798</v>
      </c>
      <c r="AQ305" s="282">
        <v>0.26123586345199401</v>
      </c>
      <c r="AR305" s="282">
        <v>0.284694316828769</v>
      </c>
      <c r="AS305" s="282">
        <v>0.31453743671067502</v>
      </c>
      <c r="AT305" s="283">
        <v>0.27704509715675502</v>
      </c>
      <c r="AU305" s="276"/>
      <c r="AV305" s="276"/>
    </row>
    <row r="306" spans="1:48" ht="13.5" hidden="1" customHeight="1">
      <c r="A306" s="206"/>
      <c r="B306" s="206"/>
      <c r="D306" s="293" t="s">
        <v>698</v>
      </c>
      <c r="E306" s="161" t="s">
        <v>370</v>
      </c>
      <c r="F306" s="294">
        <v>-7742845.6900000004</v>
      </c>
      <c r="G306" s="295">
        <v>-7350447.75</v>
      </c>
      <c r="H306" s="295">
        <v>-7311558.6900000004</v>
      </c>
      <c r="I306" s="295">
        <v>0</v>
      </c>
      <c r="J306" s="295">
        <v>0</v>
      </c>
      <c r="K306" s="295">
        <v>0</v>
      </c>
      <c r="L306" s="295">
        <v>0</v>
      </c>
      <c r="M306" s="295">
        <v>0</v>
      </c>
      <c r="N306" s="295">
        <v>0</v>
      </c>
      <c r="O306" s="295">
        <v>0</v>
      </c>
      <c r="P306" s="295">
        <v>0</v>
      </c>
      <c r="Q306" s="295">
        <v>0</v>
      </c>
      <c r="R306" s="296">
        <v>-22404852.129999999</v>
      </c>
      <c r="S306" s="161"/>
      <c r="T306" s="294">
        <v>-8222540.6083785696</v>
      </c>
      <c r="U306" s="295">
        <v>-8216575.4856785703</v>
      </c>
      <c r="V306" s="295">
        <v>-8367054.2256785696</v>
      </c>
      <c r="W306" s="295">
        <v>-8286568.2169484096</v>
      </c>
      <c r="X306" s="295">
        <v>-8289445.2169484096</v>
      </c>
      <c r="Y306" s="295">
        <v>-8320005.2169484096</v>
      </c>
      <c r="Z306" s="295">
        <v>-8314397.6108662197</v>
      </c>
      <c r="AA306" s="295">
        <v>-8304253.7277709804</v>
      </c>
      <c r="AB306" s="295">
        <v>-8322631.6677709799</v>
      </c>
      <c r="AC306" s="295">
        <v>-8422527.2834852692</v>
      </c>
      <c r="AD306" s="295">
        <v>-8437910.8534852695</v>
      </c>
      <c r="AE306" s="295">
        <v>-8437648.5434852708</v>
      </c>
      <c r="AF306" s="296">
        <v>-24806170.319735698</v>
      </c>
      <c r="AG306" s="161"/>
      <c r="AH306" s="294">
        <v>-7989755.7833603099</v>
      </c>
      <c r="AI306" s="295">
        <v>-7716876.9451993499</v>
      </c>
      <c r="AJ306" s="295">
        <v>-8526316.4499999993</v>
      </c>
      <c r="AK306" s="295">
        <v>-8319727.6600000001</v>
      </c>
      <c r="AL306" s="295">
        <v>-8069462.7599999998</v>
      </c>
      <c r="AM306" s="295">
        <v>-7714588.4000000004</v>
      </c>
      <c r="AN306" s="295">
        <v>-8224377.6500000004</v>
      </c>
      <c r="AO306" s="295">
        <v>-8949776.3599999994</v>
      </c>
      <c r="AP306" s="295">
        <v>-8077813.0499999998</v>
      </c>
      <c r="AQ306" s="295">
        <v>-7548334.3099999996</v>
      </c>
      <c r="AR306" s="295">
        <v>-7475694.1799999997</v>
      </c>
      <c r="AS306" s="295">
        <v>-7119231.21</v>
      </c>
      <c r="AT306" s="296">
        <v>-95731954.758559704</v>
      </c>
      <c r="AU306" s="161"/>
      <c r="AV306" s="161"/>
    </row>
    <row r="307" spans="1:48" ht="13.5" hidden="1" customHeight="1">
      <c r="A307" s="206"/>
      <c r="B307" s="206"/>
      <c r="D307" s="297" t="s">
        <v>699</v>
      </c>
      <c r="E307" s="161" t="s">
        <v>370</v>
      </c>
      <c r="F307" s="298">
        <v>0.91126655376253496</v>
      </c>
      <c r="G307" s="299">
        <v>0.95515341625213801</v>
      </c>
      <c r="H307" s="299">
        <v>0.96423478977590604</v>
      </c>
      <c r="I307" s="299"/>
      <c r="J307" s="299"/>
      <c r="K307" s="299"/>
      <c r="L307" s="299"/>
      <c r="M307" s="299"/>
      <c r="N307" s="299"/>
      <c r="O307" s="299"/>
      <c r="P307" s="299"/>
      <c r="Q307" s="299"/>
      <c r="R307" s="300">
        <v>0.94236543300728504</v>
      </c>
      <c r="S307" s="161"/>
      <c r="T307" s="298">
        <v>0.99687406549623103</v>
      </c>
      <c r="U307" s="299">
        <v>0.9741021666902</v>
      </c>
      <c r="V307" s="299">
        <v>0.96950037693455005</v>
      </c>
      <c r="W307" s="299">
        <v>0.91092911552917899</v>
      </c>
      <c r="X307" s="299">
        <v>0.91159611554318398</v>
      </c>
      <c r="Y307" s="299">
        <v>0.89618232138741105</v>
      </c>
      <c r="Z307" s="299">
        <v>0.82863640127745997</v>
      </c>
      <c r="AA307" s="299">
        <v>0.83646203564212396</v>
      </c>
      <c r="AB307" s="299">
        <v>0.83331142838850503</v>
      </c>
      <c r="AC307" s="299">
        <v>0.81135437876846594</v>
      </c>
      <c r="AD307" s="299">
        <v>0.80523449765980804</v>
      </c>
      <c r="AE307" s="299">
        <v>0.79835261444843597</v>
      </c>
      <c r="AF307" s="300">
        <v>0.97995337569561602</v>
      </c>
      <c r="AG307" s="161"/>
      <c r="AH307" s="298">
        <v>0.77496189305309904</v>
      </c>
      <c r="AI307" s="299">
        <v>0.81661256847878005</v>
      </c>
      <c r="AJ307" s="299">
        <v>0.84495078884416996</v>
      </c>
      <c r="AK307" s="299">
        <v>0.89498898519718295</v>
      </c>
      <c r="AL307" s="299">
        <v>0.92933700736649505</v>
      </c>
      <c r="AM307" s="299">
        <v>0.98812923720559298</v>
      </c>
      <c r="AN307" s="299">
        <v>1.0767315196201299</v>
      </c>
      <c r="AO307" s="299">
        <v>1.0599469329222599</v>
      </c>
      <c r="AP307" s="299">
        <v>0.91715866684189695</v>
      </c>
      <c r="AQ307" s="299">
        <v>0.86015588005313404</v>
      </c>
      <c r="AR307" s="299">
        <v>0.86091001471245499</v>
      </c>
      <c r="AS307" s="299">
        <v>0.82511512998527303</v>
      </c>
      <c r="AT307" s="300">
        <v>0.89793596280417798</v>
      </c>
      <c r="AU307" s="161"/>
      <c r="AV307" s="161"/>
    </row>
    <row r="308" spans="1:48" ht="13.5" customHeight="1">
      <c r="A308" s="227"/>
      <c r="B308" s="227"/>
      <c r="D308" s="301" t="s">
        <v>420</v>
      </c>
      <c r="E308" s="229" t="s">
        <v>370</v>
      </c>
      <c r="F308" s="302">
        <v>-3416306.64</v>
      </c>
      <c r="G308" s="303">
        <v>-3151799.64</v>
      </c>
      <c r="H308" s="303">
        <v>-3266007.68</v>
      </c>
      <c r="I308" s="303">
        <v>0</v>
      </c>
      <c r="J308" s="303">
        <v>0</v>
      </c>
      <c r="K308" s="303">
        <v>0</v>
      </c>
      <c r="L308" s="303">
        <v>0</v>
      </c>
      <c r="M308" s="303">
        <v>0</v>
      </c>
      <c r="N308" s="303">
        <v>0</v>
      </c>
      <c r="O308" s="303">
        <v>0</v>
      </c>
      <c r="P308" s="303">
        <v>0</v>
      </c>
      <c r="Q308" s="303">
        <v>0</v>
      </c>
      <c r="R308" s="234">
        <v>-9834113.9600000009</v>
      </c>
      <c r="S308" s="229"/>
      <c r="T308" s="302">
        <v>-3406096.0291666701</v>
      </c>
      <c r="U308" s="303">
        <v>-3406096.0291666701</v>
      </c>
      <c r="V308" s="303">
        <v>-3421096.0291666701</v>
      </c>
      <c r="W308" s="303">
        <v>-3420346.0291666701</v>
      </c>
      <c r="X308" s="303">
        <v>-3420346.0291666701</v>
      </c>
      <c r="Y308" s="303">
        <v>-3435346.0291666701</v>
      </c>
      <c r="Z308" s="303">
        <v>-3403446.0291666701</v>
      </c>
      <c r="AA308" s="303">
        <v>-3403446.0291666701</v>
      </c>
      <c r="AB308" s="303">
        <v>-3418446.0291666701</v>
      </c>
      <c r="AC308" s="303">
        <v>-3431946.0291666701</v>
      </c>
      <c r="AD308" s="303">
        <v>-3431946.0291666701</v>
      </c>
      <c r="AE308" s="303">
        <v>-3431946.0291666701</v>
      </c>
      <c r="AF308" s="234">
        <v>-10233288.0875</v>
      </c>
      <c r="AG308" s="229"/>
      <c r="AH308" s="302">
        <v>-3645964.46</v>
      </c>
      <c r="AI308" s="303">
        <v>-3289899.23</v>
      </c>
      <c r="AJ308" s="303">
        <v>-3508780</v>
      </c>
      <c r="AK308" s="303">
        <v>-3607697.88</v>
      </c>
      <c r="AL308" s="303">
        <v>-3471603.7</v>
      </c>
      <c r="AM308" s="303">
        <v>-3300178.24</v>
      </c>
      <c r="AN308" s="303">
        <v>-3273831.22</v>
      </c>
      <c r="AO308" s="303">
        <v>-3684960.95</v>
      </c>
      <c r="AP308" s="303">
        <v>-3057716.54</v>
      </c>
      <c r="AQ308" s="303">
        <v>-3004532.18</v>
      </c>
      <c r="AR308" s="303">
        <v>-2883123.78</v>
      </c>
      <c r="AS308" s="303">
        <v>-2696826.17</v>
      </c>
      <c r="AT308" s="234">
        <v>-39425114.350000001</v>
      </c>
      <c r="AU308" s="229"/>
      <c r="AV308" s="229"/>
    </row>
    <row r="309" spans="1:48" ht="15" customHeight="1">
      <c r="A309" s="227"/>
      <c r="B309" s="227"/>
      <c r="D309" s="304" t="s">
        <v>455</v>
      </c>
      <c r="E309" s="229" t="s">
        <v>370</v>
      </c>
      <c r="F309" s="305">
        <v>-1741146.28</v>
      </c>
      <c r="G309" s="306">
        <v>-1601883.82</v>
      </c>
      <c r="H309" s="306">
        <v>-1557958.86</v>
      </c>
      <c r="I309" s="306">
        <v>0</v>
      </c>
      <c r="J309" s="306">
        <v>0</v>
      </c>
      <c r="K309" s="306">
        <v>0</v>
      </c>
      <c r="L309" s="306">
        <v>0</v>
      </c>
      <c r="M309" s="306">
        <v>0</v>
      </c>
      <c r="N309" s="306">
        <v>0</v>
      </c>
      <c r="O309" s="306">
        <v>0</v>
      </c>
      <c r="P309" s="306">
        <v>0</v>
      </c>
      <c r="Q309" s="306">
        <v>0</v>
      </c>
      <c r="R309" s="307">
        <v>-4900988.96</v>
      </c>
      <c r="S309" s="229"/>
      <c r="T309" s="305">
        <v>-1706268.4569261901</v>
      </c>
      <c r="U309" s="306">
        <v>-1706268.4569261901</v>
      </c>
      <c r="V309" s="306">
        <v>-1806268.4569261901</v>
      </c>
      <c r="W309" s="306">
        <v>-1692972.7497833299</v>
      </c>
      <c r="X309" s="306">
        <v>-1692972.7497833299</v>
      </c>
      <c r="Y309" s="306">
        <v>-1692972.7497833299</v>
      </c>
      <c r="Z309" s="306">
        <v>-1571390.6437011401</v>
      </c>
      <c r="AA309" s="306">
        <v>-1560096.0306059001</v>
      </c>
      <c r="AB309" s="306">
        <v>-1560096.0306059001</v>
      </c>
      <c r="AC309" s="306">
        <v>-1560096.0306059001</v>
      </c>
      <c r="AD309" s="306">
        <v>-1560096.0306059001</v>
      </c>
      <c r="AE309" s="306">
        <v>-1560096.0306059001</v>
      </c>
      <c r="AF309" s="307">
        <v>-5218805.37077857</v>
      </c>
      <c r="AG309" s="229"/>
      <c r="AH309" s="305">
        <v>-1757238.7</v>
      </c>
      <c r="AI309" s="306">
        <v>-1770927.85</v>
      </c>
      <c r="AJ309" s="306">
        <v>-1859768.62</v>
      </c>
      <c r="AK309" s="306">
        <v>-1833146.31</v>
      </c>
      <c r="AL309" s="306">
        <v>-1812033.66</v>
      </c>
      <c r="AM309" s="306">
        <v>-1770803.27</v>
      </c>
      <c r="AN309" s="306">
        <v>-1819306.53</v>
      </c>
      <c r="AO309" s="306">
        <v>-1822709.55</v>
      </c>
      <c r="AP309" s="306">
        <v>-1684970.68</v>
      </c>
      <c r="AQ309" s="306">
        <v>-1704601.45</v>
      </c>
      <c r="AR309" s="306">
        <v>-1710746.2</v>
      </c>
      <c r="AS309" s="306">
        <v>-1457283.48</v>
      </c>
      <c r="AT309" s="307">
        <v>-21003536.300000001</v>
      </c>
      <c r="AU309" s="229"/>
      <c r="AV309" s="229"/>
    </row>
    <row r="310" spans="1:48" ht="13.5" customHeight="1">
      <c r="A310" s="227"/>
      <c r="B310" s="227"/>
      <c r="D310" s="308" t="s">
        <v>558</v>
      </c>
      <c r="E310" s="229" t="s">
        <v>370</v>
      </c>
      <c r="F310" s="309">
        <v>-2224217.0699999998</v>
      </c>
      <c r="G310" s="310">
        <v>-2294916.92</v>
      </c>
      <c r="H310" s="310">
        <v>-2147441.38</v>
      </c>
      <c r="I310" s="310">
        <v>0</v>
      </c>
      <c r="J310" s="310">
        <v>0</v>
      </c>
      <c r="K310" s="310">
        <v>0</v>
      </c>
      <c r="L310" s="310">
        <v>0</v>
      </c>
      <c r="M310" s="310">
        <v>0</v>
      </c>
      <c r="N310" s="310">
        <v>0</v>
      </c>
      <c r="O310" s="310">
        <v>0</v>
      </c>
      <c r="P310" s="310">
        <v>0</v>
      </c>
      <c r="Q310" s="310">
        <v>0</v>
      </c>
      <c r="R310" s="311">
        <v>-6666575.3700000001</v>
      </c>
      <c r="S310" s="229"/>
      <c r="T310" s="309">
        <v>-2661261.6047857101</v>
      </c>
      <c r="U310" s="310">
        <v>-2655296.4820857099</v>
      </c>
      <c r="V310" s="310">
        <v>-2653775.2220857101</v>
      </c>
      <c r="W310" s="310">
        <v>-2654034.9204984098</v>
      </c>
      <c r="X310" s="310">
        <v>-2656911.9204984098</v>
      </c>
      <c r="Y310" s="310">
        <v>-2653971.9204984098</v>
      </c>
      <c r="Z310" s="310">
        <v>-2628833.9204984098</v>
      </c>
      <c r="AA310" s="310">
        <v>-2629984.6504984102</v>
      </c>
      <c r="AB310" s="310">
        <v>-2633362.5904984102</v>
      </c>
      <c r="AC310" s="310">
        <v>-2630958.2062126999</v>
      </c>
      <c r="AD310" s="310">
        <v>-2631541.7762127002</v>
      </c>
      <c r="AE310" s="310">
        <v>-2631279.4662127001</v>
      </c>
      <c r="AF310" s="311">
        <v>-7970333.30895714</v>
      </c>
      <c r="AG310" s="229"/>
      <c r="AH310" s="309">
        <v>-1839238.2033603101</v>
      </c>
      <c r="AI310" s="310">
        <v>-2062599.08519935</v>
      </c>
      <c r="AJ310" s="310">
        <v>-2304083.0299999998</v>
      </c>
      <c r="AK310" s="310">
        <v>-2201104.7400000002</v>
      </c>
      <c r="AL310" s="310">
        <v>-2110223.3599999999</v>
      </c>
      <c r="AM310" s="310">
        <v>-2075496.02</v>
      </c>
      <c r="AN310" s="310">
        <v>-2401684.85</v>
      </c>
      <c r="AO310" s="310">
        <v>-2641364.69</v>
      </c>
      <c r="AP310" s="310">
        <v>-2661232.44</v>
      </c>
      <c r="AQ310" s="310">
        <v>-2215482.16</v>
      </c>
      <c r="AR310" s="310">
        <v>-2396497.31</v>
      </c>
      <c r="AS310" s="310">
        <v>-2646164.14</v>
      </c>
      <c r="AT310" s="311">
        <v>-27555170.0285597</v>
      </c>
      <c r="AU310" s="229"/>
      <c r="AV310" s="229"/>
    </row>
    <row r="311" spans="1:48" ht="13.5" customHeight="1">
      <c r="A311" s="284"/>
      <c r="B311" s="284"/>
      <c r="D311" s="285" t="s">
        <v>700</v>
      </c>
      <c r="E311" s="276" t="s">
        <v>370</v>
      </c>
      <c r="F311" s="286">
        <v>-7381669.9900000002</v>
      </c>
      <c r="G311" s="287">
        <v>-7048600.3799999999</v>
      </c>
      <c r="H311" s="287">
        <v>-6971407.9199999999</v>
      </c>
      <c r="I311" s="287">
        <v>0</v>
      </c>
      <c r="J311" s="287">
        <v>0</v>
      </c>
      <c r="K311" s="287">
        <v>0</v>
      </c>
      <c r="L311" s="287">
        <v>0</v>
      </c>
      <c r="M311" s="287">
        <v>0</v>
      </c>
      <c r="N311" s="287">
        <v>0</v>
      </c>
      <c r="O311" s="287">
        <v>0</v>
      </c>
      <c r="P311" s="287">
        <v>0</v>
      </c>
      <c r="Q311" s="287">
        <v>0</v>
      </c>
      <c r="R311" s="288">
        <v>-21401678.289999999</v>
      </c>
      <c r="S311" s="276"/>
      <c r="T311" s="286">
        <v>-7773626.0908785705</v>
      </c>
      <c r="U311" s="287">
        <v>-7767660.9681785703</v>
      </c>
      <c r="V311" s="287">
        <v>-7881139.7081785696</v>
      </c>
      <c r="W311" s="287">
        <v>-7767353.6994484104</v>
      </c>
      <c r="X311" s="287">
        <v>-7770230.6994484104</v>
      </c>
      <c r="Y311" s="287">
        <v>-7782290.6994484104</v>
      </c>
      <c r="Z311" s="287">
        <v>-7603670.5933662197</v>
      </c>
      <c r="AA311" s="287">
        <v>-7593526.7102709804</v>
      </c>
      <c r="AB311" s="287">
        <v>-7611904.6502709799</v>
      </c>
      <c r="AC311" s="287">
        <v>-7623000.26598527</v>
      </c>
      <c r="AD311" s="287">
        <v>-7623583.8359852703</v>
      </c>
      <c r="AE311" s="287">
        <v>-7623321.5259852698</v>
      </c>
      <c r="AF311" s="279">
        <v>-23422426.7672357</v>
      </c>
      <c r="AG311" s="276"/>
      <c r="AH311" s="286">
        <v>-7242441.36336031</v>
      </c>
      <c r="AI311" s="287">
        <v>-7123426.1651993496</v>
      </c>
      <c r="AJ311" s="287">
        <v>-7672631.6500000004</v>
      </c>
      <c r="AK311" s="287">
        <v>-7641948.9299999997</v>
      </c>
      <c r="AL311" s="287">
        <v>-7393860.7199999997</v>
      </c>
      <c r="AM311" s="287">
        <v>-7146477.5300000003</v>
      </c>
      <c r="AN311" s="287">
        <v>-7494822.5999999996</v>
      </c>
      <c r="AO311" s="287">
        <v>-8149035.1900000004</v>
      </c>
      <c r="AP311" s="287">
        <v>-7403919.6600000001</v>
      </c>
      <c r="AQ311" s="287">
        <v>-6924615.79</v>
      </c>
      <c r="AR311" s="287">
        <v>-6990367.29</v>
      </c>
      <c r="AS311" s="287">
        <v>-6800273.79</v>
      </c>
      <c r="AT311" s="288">
        <v>-87983820.678559706</v>
      </c>
      <c r="AU311" s="276"/>
      <c r="AV311" s="276"/>
    </row>
    <row r="312" spans="1:48" ht="13.5" customHeight="1">
      <c r="A312" s="206"/>
      <c r="B312" s="206"/>
      <c r="D312" s="280" t="s">
        <v>701</v>
      </c>
      <c r="E312" s="276" t="s">
        <v>370</v>
      </c>
      <c r="F312" s="281">
        <v>0.90953758154714903</v>
      </c>
      <c r="G312" s="282">
        <v>0.94836154191663002</v>
      </c>
      <c r="H312" s="282">
        <v>0.95861499818825402</v>
      </c>
      <c r="I312" s="282"/>
      <c r="J312" s="282"/>
      <c r="K312" s="282"/>
      <c r="L312" s="282"/>
      <c r="M312" s="282"/>
      <c r="N312" s="282"/>
      <c r="O312" s="282"/>
      <c r="P312" s="282"/>
      <c r="Q312" s="282"/>
      <c r="R312" s="283">
        <v>0.93782184551523196</v>
      </c>
      <c r="S312" s="276"/>
      <c r="T312" s="281">
        <v>0.99606650905019101</v>
      </c>
      <c r="U312" s="282">
        <v>0.97204821781065598</v>
      </c>
      <c r="V312" s="282">
        <v>0.96864232679973405</v>
      </c>
      <c r="W312" s="282">
        <v>0.90763111581058498</v>
      </c>
      <c r="X312" s="282">
        <v>0.90833879346595503</v>
      </c>
      <c r="Y312" s="282">
        <v>0.892481826706092</v>
      </c>
      <c r="Z312" s="282">
        <v>0.82292312417469804</v>
      </c>
      <c r="AA312" s="282">
        <v>0.83136273380479497</v>
      </c>
      <c r="AB312" s="282">
        <v>0.82797307328994596</v>
      </c>
      <c r="AC312" s="282">
        <v>0.80523309530271403</v>
      </c>
      <c r="AD312" s="282">
        <v>0.79871389607839205</v>
      </c>
      <c r="AE312" s="282">
        <v>0.79122579270451598</v>
      </c>
      <c r="AF312" s="283">
        <v>0.97872287046509499</v>
      </c>
      <c r="AG312" s="276"/>
      <c r="AH312" s="281">
        <v>0.77341230792418802</v>
      </c>
      <c r="AI312" s="282">
        <v>0.81980656871200797</v>
      </c>
      <c r="AJ312" s="282">
        <v>0.84366709099451798</v>
      </c>
      <c r="AK312" s="282">
        <v>0.90212648759639202</v>
      </c>
      <c r="AL312" s="282">
        <v>0.90048255947442202</v>
      </c>
      <c r="AM312" s="282">
        <v>0.97376175209897398</v>
      </c>
      <c r="AN312" s="282">
        <v>1.04235891413955</v>
      </c>
      <c r="AO312" s="282">
        <v>1.0056775578155099</v>
      </c>
      <c r="AP312" s="282">
        <v>0.87805584628129296</v>
      </c>
      <c r="AQ312" s="282">
        <v>0.83525459162542004</v>
      </c>
      <c r="AR312" s="282">
        <v>0.82874630920951897</v>
      </c>
      <c r="AS312" s="282">
        <v>0.82498816368591599</v>
      </c>
      <c r="AT312" s="283">
        <v>0.88104955565231602</v>
      </c>
      <c r="AU312" s="276"/>
      <c r="AV312" s="276"/>
    </row>
    <row r="313" spans="1:48" ht="13.5" customHeight="1">
      <c r="A313" s="206"/>
      <c r="B313" s="206"/>
      <c r="D313" s="275" t="s">
        <v>702</v>
      </c>
      <c r="E313" s="276" t="s">
        <v>370</v>
      </c>
      <c r="F313" s="277">
        <v>-361175.7</v>
      </c>
      <c r="G313" s="278">
        <v>-301847.37</v>
      </c>
      <c r="H313" s="278">
        <v>-340150.77</v>
      </c>
      <c r="I313" s="278">
        <v>0</v>
      </c>
      <c r="J313" s="278">
        <v>0</v>
      </c>
      <c r="K313" s="278">
        <v>0</v>
      </c>
      <c r="L313" s="278">
        <v>0</v>
      </c>
      <c r="M313" s="278">
        <v>0</v>
      </c>
      <c r="N313" s="278">
        <v>0</v>
      </c>
      <c r="O313" s="278">
        <v>0</v>
      </c>
      <c r="P313" s="278">
        <v>0</v>
      </c>
      <c r="Q313" s="278">
        <v>0</v>
      </c>
      <c r="R313" s="279">
        <v>-1003173.84</v>
      </c>
      <c r="S313" s="276"/>
      <c r="T313" s="277">
        <v>-448914.51750000002</v>
      </c>
      <c r="U313" s="278">
        <v>-448914.51750000002</v>
      </c>
      <c r="V313" s="278">
        <v>-485914.51750000002</v>
      </c>
      <c r="W313" s="278">
        <v>-519214.51750000002</v>
      </c>
      <c r="X313" s="278">
        <v>-519214.51750000002</v>
      </c>
      <c r="Y313" s="278">
        <v>-537714.51749999996</v>
      </c>
      <c r="Z313" s="278">
        <v>-710727.01749999996</v>
      </c>
      <c r="AA313" s="278">
        <v>-710727.01749999996</v>
      </c>
      <c r="AB313" s="278">
        <v>-710727.01749999996</v>
      </c>
      <c r="AC313" s="278">
        <v>-799527.01749999996</v>
      </c>
      <c r="AD313" s="278">
        <v>-814327.01749999996</v>
      </c>
      <c r="AE313" s="278">
        <v>-814327.01749999996</v>
      </c>
      <c r="AF313" s="279">
        <v>-1383743.5525</v>
      </c>
      <c r="AG313" s="276"/>
      <c r="AH313" s="277">
        <v>-747314.42</v>
      </c>
      <c r="AI313" s="278">
        <v>-593450.78</v>
      </c>
      <c r="AJ313" s="278">
        <v>-853684.8</v>
      </c>
      <c r="AK313" s="278">
        <v>-677778.73</v>
      </c>
      <c r="AL313" s="278">
        <v>-675602.04</v>
      </c>
      <c r="AM313" s="278">
        <v>-568110.87</v>
      </c>
      <c r="AN313" s="278">
        <v>-729555.05</v>
      </c>
      <c r="AO313" s="278">
        <v>-800741.17</v>
      </c>
      <c r="AP313" s="278">
        <v>-673893.39</v>
      </c>
      <c r="AQ313" s="278">
        <v>-623718.52</v>
      </c>
      <c r="AR313" s="278">
        <v>-485326.89</v>
      </c>
      <c r="AS313" s="278">
        <v>-318957.42</v>
      </c>
      <c r="AT313" s="279">
        <v>-7748134.0800000001</v>
      </c>
      <c r="AU313" s="276"/>
      <c r="AV313" s="276"/>
    </row>
    <row r="314" spans="1:48" ht="13.5" customHeight="1">
      <c r="A314" s="206"/>
      <c r="B314" s="206"/>
      <c r="D314" s="280" t="s">
        <v>703</v>
      </c>
      <c r="E314" s="276" t="s">
        <v>370</v>
      </c>
      <c r="F314" s="281">
        <v>0.94810134656774503</v>
      </c>
      <c r="G314" s="282">
        <v>1.1469684658250201</v>
      </c>
      <c r="H314" s="282">
        <v>1.09590858606268</v>
      </c>
      <c r="I314" s="282"/>
      <c r="J314" s="282"/>
      <c r="K314" s="282"/>
      <c r="L314" s="282"/>
      <c r="M314" s="282"/>
      <c r="N314" s="282"/>
      <c r="O314" s="282"/>
      <c r="P314" s="282"/>
      <c r="Q314" s="282"/>
      <c r="R314" s="283">
        <v>1.0509957768920399</v>
      </c>
      <c r="S314" s="276"/>
      <c r="T314" s="281">
        <v>1.0110687331081101</v>
      </c>
      <c r="U314" s="282">
        <v>1.0110687331081101</v>
      </c>
      <c r="V314" s="282">
        <v>0.98363262651821903</v>
      </c>
      <c r="W314" s="282">
        <v>0.96329224025974003</v>
      </c>
      <c r="X314" s="282">
        <v>0.96329224025974003</v>
      </c>
      <c r="Y314" s="282">
        <v>0.95339453457446799</v>
      </c>
      <c r="Z314" s="282">
        <v>0.89512218828715395</v>
      </c>
      <c r="AA314" s="282">
        <v>0.89512218828715395</v>
      </c>
      <c r="AB314" s="282">
        <v>0.89512218828715395</v>
      </c>
      <c r="AC314" s="282">
        <v>0.87475603665207902</v>
      </c>
      <c r="AD314" s="282">
        <v>0.87187046841541804</v>
      </c>
      <c r="AE314" s="282">
        <v>0.87187046841541804</v>
      </c>
      <c r="AF314" s="283">
        <v>1.0012616154124501</v>
      </c>
      <c r="AG314" s="276"/>
      <c r="AH314" s="281">
        <v>0.79030742862804004</v>
      </c>
      <c r="AI314" s="282">
        <v>0.78012925007205103</v>
      </c>
      <c r="AJ314" s="282">
        <v>0.85666599767189799</v>
      </c>
      <c r="AK314" s="282">
        <v>0.82168921472996304</v>
      </c>
      <c r="AL314" s="282">
        <v>1.43125861061731</v>
      </c>
      <c r="AM314" s="282">
        <v>1.21332748857121</v>
      </c>
      <c r="AN314" s="282">
        <v>1.62836423234725</v>
      </c>
      <c r="AO314" s="282">
        <v>2.3511228655011598</v>
      </c>
      <c r="AP314" s="282">
        <v>1.7958110318188101</v>
      </c>
      <c r="AQ314" s="282">
        <v>1.2857073801638099</v>
      </c>
      <c r="AR314" s="282">
        <v>1.95216723205184</v>
      </c>
      <c r="AS314" s="282">
        <v>0.82783142126329301</v>
      </c>
      <c r="AT314" s="283">
        <v>1.14773020297204</v>
      </c>
      <c r="AU314" s="276"/>
      <c r="AV314" s="276"/>
    </row>
    <row r="315" spans="1:48" ht="13.5" customHeight="1">
      <c r="A315" s="206"/>
      <c r="B315" s="206"/>
      <c r="D315" s="293" t="s">
        <v>698</v>
      </c>
      <c r="E315" s="161" t="s">
        <v>370</v>
      </c>
      <c r="F315" s="294">
        <v>-7742845.6900000004</v>
      </c>
      <c r="G315" s="295">
        <v>-7350447.75</v>
      </c>
      <c r="H315" s="295">
        <v>-7311558.6900000004</v>
      </c>
      <c r="I315" s="295">
        <v>0</v>
      </c>
      <c r="J315" s="295">
        <v>0</v>
      </c>
      <c r="K315" s="295">
        <v>0</v>
      </c>
      <c r="L315" s="295">
        <v>0</v>
      </c>
      <c r="M315" s="295">
        <v>0</v>
      </c>
      <c r="N315" s="295">
        <v>0</v>
      </c>
      <c r="O315" s="295">
        <v>0</v>
      </c>
      <c r="P315" s="295">
        <v>0</v>
      </c>
      <c r="Q315" s="295">
        <v>0</v>
      </c>
      <c r="R315" s="296">
        <v>-22404852.129999999</v>
      </c>
      <c r="S315" s="161"/>
      <c r="T315" s="294">
        <v>-8222540.6083785696</v>
      </c>
      <c r="U315" s="295">
        <v>-8216575.4856785703</v>
      </c>
      <c r="V315" s="295">
        <v>-8367054.2256785696</v>
      </c>
      <c r="W315" s="295">
        <v>-8286568.2169484096</v>
      </c>
      <c r="X315" s="295">
        <v>-8289445.2169484096</v>
      </c>
      <c r="Y315" s="295">
        <v>-8320005.2169484096</v>
      </c>
      <c r="Z315" s="295">
        <v>-8314397.6108662197</v>
      </c>
      <c r="AA315" s="295">
        <v>-8304253.7277709804</v>
      </c>
      <c r="AB315" s="295">
        <v>-8322631.6677709799</v>
      </c>
      <c r="AC315" s="295">
        <v>-8422527.2834852692</v>
      </c>
      <c r="AD315" s="295">
        <v>-8437910.8534852695</v>
      </c>
      <c r="AE315" s="295">
        <v>-8437648.5434852708</v>
      </c>
      <c r="AF315" s="296">
        <v>-24806170.319735698</v>
      </c>
      <c r="AG315" s="161"/>
      <c r="AH315" s="294">
        <v>-7989755.7833603099</v>
      </c>
      <c r="AI315" s="295">
        <v>-7716876.9451993499</v>
      </c>
      <c r="AJ315" s="295">
        <v>-8526316.4499999993</v>
      </c>
      <c r="AK315" s="295">
        <v>-8319727.6600000001</v>
      </c>
      <c r="AL315" s="295">
        <v>-8069462.7599999998</v>
      </c>
      <c r="AM315" s="295">
        <v>-7714588.4000000004</v>
      </c>
      <c r="AN315" s="295">
        <v>-8224377.6500000004</v>
      </c>
      <c r="AO315" s="295">
        <v>-8949776.3599999994</v>
      </c>
      <c r="AP315" s="295">
        <v>-8077813.0499999998</v>
      </c>
      <c r="AQ315" s="295">
        <v>-7548334.3099999996</v>
      </c>
      <c r="AR315" s="295">
        <v>-7475694.1799999997</v>
      </c>
      <c r="AS315" s="295">
        <v>-7119231.21</v>
      </c>
      <c r="AT315" s="296">
        <v>-95731954.758559704</v>
      </c>
      <c r="AU315" s="161"/>
      <c r="AV315" s="161"/>
    </row>
    <row r="316" spans="1:48" ht="13.5" customHeight="1">
      <c r="A316" s="206"/>
      <c r="B316" s="206"/>
      <c r="D316" s="297" t="s">
        <v>699</v>
      </c>
      <c r="E316" s="161" t="s">
        <v>370</v>
      </c>
      <c r="F316" s="298">
        <v>0.91126655376253496</v>
      </c>
      <c r="G316" s="299">
        <v>0.95515341625213801</v>
      </c>
      <c r="H316" s="299">
        <v>0.96423478977590604</v>
      </c>
      <c r="I316" s="299"/>
      <c r="J316" s="299"/>
      <c r="K316" s="299"/>
      <c r="L316" s="299"/>
      <c r="M316" s="299"/>
      <c r="N316" s="299"/>
      <c r="O316" s="299"/>
      <c r="P316" s="299"/>
      <c r="Q316" s="299"/>
      <c r="R316" s="300">
        <v>0.94236543300728504</v>
      </c>
      <c r="S316" s="161"/>
      <c r="T316" s="298">
        <v>0.99687406549623103</v>
      </c>
      <c r="U316" s="299">
        <v>0.9741021666902</v>
      </c>
      <c r="V316" s="299">
        <v>0.96950037693455005</v>
      </c>
      <c r="W316" s="299">
        <v>0.91092911552917899</v>
      </c>
      <c r="X316" s="299">
        <v>0.91159611554318398</v>
      </c>
      <c r="Y316" s="299">
        <v>0.89618232138741105</v>
      </c>
      <c r="Z316" s="299">
        <v>0.82863640127745997</v>
      </c>
      <c r="AA316" s="299">
        <v>0.83646203564212396</v>
      </c>
      <c r="AB316" s="299">
        <v>0.83331142838850503</v>
      </c>
      <c r="AC316" s="299">
        <v>0.81135437876846594</v>
      </c>
      <c r="AD316" s="299">
        <v>0.80523449765980804</v>
      </c>
      <c r="AE316" s="299">
        <v>0.79835261444843597</v>
      </c>
      <c r="AF316" s="300">
        <v>0.97995337569561602</v>
      </c>
      <c r="AG316" s="161"/>
      <c r="AH316" s="298">
        <v>0.77496189305309904</v>
      </c>
      <c r="AI316" s="299">
        <v>0.81661256847878005</v>
      </c>
      <c r="AJ316" s="299">
        <v>0.84495078884416996</v>
      </c>
      <c r="AK316" s="299">
        <v>0.89498898519718295</v>
      </c>
      <c r="AL316" s="299">
        <v>0.92933700736649505</v>
      </c>
      <c r="AM316" s="299">
        <v>0.98812923720559298</v>
      </c>
      <c r="AN316" s="299">
        <v>1.0767315196201299</v>
      </c>
      <c r="AO316" s="299">
        <v>1.0599469329222599</v>
      </c>
      <c r="AP316" s="299">
        <v>0.91715866684189695</v>
      </c>
      <c r="AQ316" s="299">
        <v>0.86015588005313404</v>
      </c>
      <c r="AR316" s="299">
        <v>0.86091001471245499</v>
      </c>
      <c r="AS316" s="299">
        <v>0.82511512998527303</v>
      </c>
      <c r="AT316" s="300">
        <v>0.89793596280417798</v>
      </c>
      <c r="AU316" s="161"/>
      <c r="AV316" s="161"/>
    </row>
    <row r="317" spans="1:48" ht="13.5" customHeight="1">
      <c r="A317" s="206"/>
      <c r="B317" s="206"/>
      <c r="D317" s="312" t="s">
        <v>704</v>
      </c>
      <c r="E317" s="276" t="s">
        <v>370</v>
      </c>
      <c r="F317" s="313">
        <v>734179.36000000103</v>
      </c>
      <c r="G317" s="314">
        <v>383797.56999999803</v>
      </c>
      <c r="H317" s="314">
        <v>300967.260000001</v>
      </c>
      <c r="I317" s="287">
        <v>0</v>
      </c>
      <c r="J317" s="287">
        <v>0</v>
      </c>
      <c r="K317" s="287">
        <v>0</v>
      </c>
      <c r="L317" s="287">
        <v>0</v>
      </c>
      <c r="M317" s="287">
        <v>0</v>
      </c>
      <c r="N317" s="287">
        <v>0</v>
      </c>
      <c r="O317" s="287">
        <v>0</v>
      </c>
      <c r="P317" s="287">
        <v>0</v>
      </c>
      <c r="Q317" s="287">
        <v>0</v>
      </c>
      <c r="R317" s="288">
        <v>1418944.19</v>
      </c>
      <c r="S317" s="276"/>
      <c r="T317" s="313">
        <v>30698.239121428702</v>
      </c>
      <c r="U317" s="314">
        <v>223363.371821429</v>
      </c>
      <c r="V317" s="314">
        <v>255134.63182142901</v>
      </c>
      <c r="W317" s="314">
        <v>790477.30055158795</v>
      </c>
      <c r="X317" s="314">
        <v>784100.30055158795</v>
      </c>
      <c r="Y317" s="314">
        <v>937540.30055158795</v>
      </c>
      <c r="Z317" s="314">
        <v>1636160.4066337801</v>
      </c>
      <c r="AA317" s="314">
        <v>1540304.2897290201</v>
      </c>
      <c r="AB317" s="314">
        <v>1581515.8797290199</v>
      </c>
      <c r="AC317" s="314">
        <v>1843824.0740147301</v>
      </c>
      <c r="AD317" s="314">
        <v>1921240.50401473</v>
      </c>
      <c r="AE317" s="314">
        <v>2011502.81401473</v>
      </c>
      <c r="AF317" s="315">
        <v>509196.24276428699</v>
      </c>
      <c r="AG317" s="276"/>
      <c r="AH317" s="286">
        <v>2121828.2366396901</v>
      </c>
      <c r="AI317" s="287">
        <v>1565728.6148006499</v>
      </c>
      <c r="AJ317" s="287">
        <v>1421751.35</v>
      </c>
      <c r="AK317" s="287">
        <v>829090.37000000104</v>
      </c>
      <c r="AL317" s="287">
        <v>817137.52999999805</v>
      </c>
      <c r="AM317" s="287">
        <v>192563.580000002</v>
      </c>
      <c r="AN317" s="287">
        <v>-304571.24</v>
      </c>
      <c r="AO317" s="287">
        <v>-46005.419999999896</v>
      </c>
      <c r="AP317" s="287">
        <v>1028254.32</v>
      </c>
      <c r="AQ317" s="287">
        <v>1365809.5</v>
      </c>
      <c r="AR317" s="287">
        <v>1444502.6</v>
      </c>
      <c r="AS317" s="287">
        <v>1442600.58</v>
      </c>
      <c r="AT317" s="288">
        <v>11878690.021440299</v>
      </c>
      <c r="AU317" s="276"/>
      <c r="AV317" s="276"/>
    </row>
    <row r="318" spans="1:48" ht="13.5" customHeight="1">
      <c r="A318" s="206"/>
      <c r="B318" s="206"/>
      <c r="D318" s="275" t="s">
        <v>705</v>
      </c>
      <c r="E318" s="276" t="s">
        <v>370</v>
      </c>
      <c r="F318" s="277">
        <v>19770.599999999999</v>
      </c>
      <c r="G318" s="278">
        <v>-38677.650000000103</v>
      </c>
      <c r="H318" s="278">
        <v>-29768.34</v>
      </c>
      <c r="I318" s="278">
        <v>0</v>
      </c>
      <c r="J318" s="278">
        <v>0</v>
      </c>
      <c r="K318" s="278">
        <v>0</v>
      </c>
      <c r="L318" s="278">
        <v>0</v>
      </c>
      <c r="M318" s="278">
        <v>0</v>
      </c>
      <c r="N318" s="278">
        <v>0</v>
      </c>
      <c r="O318" s="278">
        <v>0</v>
      </c>
      <c r="P318" s="278">
        <v>0</v>
      </c>
      <c r="Q318" s="278">
        <v>0</v>
      </c>
      <c r="R318" s="279">
        <v>-48675.390000000101</v>
      </c>
      <c r="S318" s="276"/>
      <c r="T318" s="277">
        <v>-4914.5174999999599</v>
      </c>
      <c r="U318" s="278">
        <v>-4914.5174999999599</v>
      </c>
      <c r="V318" s="278">
        <v>8085.4825000000401</v>
      </c>
      <c r="W318" s="278">
        <v>19785.482499999998</v>
      </c>
      <c r="X318" s="278">
        <v>19785.482499999998</v>
      </c>
      <c r="Y318" s="278">
        <v>26285.482499999998</v>
      </c>
      <c r="Z318" s="278">
        <v>83272.982499999896</v>
      </c>
      <c r="AA318" s="278">
        <v>83272.982499999896</v>
      </c>
      <c r="AB318" s="278">
        <v>83272.982499999896</v>
      </c>
      <c r="AC318" s="278">
        <v>114472.9825</v>
      </c>
      <c r="AD318" s="278">
        <v>119672.9825</v>
      </c>
      <c r="AE318" s="278">
        <v>119672.9825</v>
      </c>
      <c r="AF318" s="279">
        <v>-1743.55249999987</v>
      </c>
      <c r="AG318" s="276"/>
      <c r="AH318" s="277">
        <v>198285.22</v>
      </c>
      <c r="AI318" s="278">
        <v>167257.5</v>
      </c>
      <c r="AJ318" s="278">
        <v>142835.20000000001</v>
      </c>
      <c r="AK318" s="278">
        <v>147081.47</v>
      </c>
      <c r="AL318" s="278">
        <v>-203568.52</v>
      </c>
      <c r="AM318" s="278">
        <v>-99885.37</v>
      </c>
      <c r="AN318" s="278">
        <v>-281525.65000000002</v>
      </c>
      <c r="AO318" s="278">
        <v>-460162.98</v>
      </c>
      <c r="AP318" s="278">
        <v>-298634.87</v>
      </c>
      <c r="AQ318" s="278">
        <v>-138601.51</v>
      </c>
      <c r="AR318" s="278">
        <v>-236717.61</v>
      </c>
      <c r="AS318" s="278">
        <v>66335.3</v>
      </c>
      <c r="AT318" s="279">
        <v>-997301.82</v>
      </c>
      <c r="AU318" s="276"/>
      <c r="AV318" s="276"/>
    </row>
    <row r="319" spans="1:48" ht="13.5" customHeight="1">
      <c r="A319" s="206"/>
      <c r="B319" s="206"/>
      <c r="D319" s="316" t="s">
        <v>706</v>
      </c>
      <c r="E319" s="161" t="s">
        <v>370</v>
      </c>
      <c r="F319" s="317">
        <v>753949.96000000101</v>
      </c>
      <c r="G319" s="318">
        <v>345119.919999998</v>
      </c>
      <c r="H319" s="318">
        <v>271198.92000000097</v>
      </c>
      <c r="I319" s="318">
        <v>0</v>
      </c>
      <c r="J319" s="318">
        <v>0</v>
      </c>
      <c r="K319" s="318">
        <v>0</v>
      </c>
      <c r="L319" s="318">
        <v>0</v>
      </c>
      <c r="M319" s="318">
        <v>0</v>
      </c>
      <c r="N319" s="318">
        <v>0</v>
      </c>
      <c r="O319" s="318">
        <v>0</v>
      </c>
      <c r="P319" s="318">
        <v>0</v>
      </c>
      <c r="Q319" s="318">
        <v>0</v>
      </c>
      <c r="R319" s="319">
        <v>1370268.8</v>
      </c>
      <c r="S319" s="161"/>
      <c r="T319" s="317">
        <v>25783.7216214287</v>
      </c>
      <c r="U319" s="318">
        <v>218448.85432142901</v>
      </c>
      <c r="V319" s="318">
        <v>263220.11432142899</v>
      </c>
      <c r="W319" s="318">
        <v>810262.78305158799</v>
      </c>
      <c r="X319" s="318">
        <v>803885.78305158799</v>
      </c>
      <c r="Y319" s="318">
        <v>963825.78305158799</v>
      </c>
      <c r="Z319" s="318">
        <v>1719433.38913378</v>
      </c>
      <c r="AA319" s="318">
        <v>1623577.27222902</v>
      </c>
      <c r="AB319" s="318">
        <v>1664788.8622290201</v>
      </c>
      <c r="AC319" s="318">
        <v>1958297.05651473</v>
      </c>
      <c r="AD319" s="318">
        <v>2040913.4865147299</v>
      </c>
      <c r="AE319" s="318">
        <v>2131175.79651473</v>
      </c>
      <c r="AF319" s="319">
        <v>507452.690264287</v>
      </c>
      <c r="AG319" s="161"/>
      <c r="AH319" s="317">
        <v>2320113.4566396899</v>
      </c>
      <c r="AI319" s="318">
        <v>1732986.1148006499</v>
      </c>
      <c r="AJ319" s="318">
        <v>1564586.55</v>
      </c>
      <c r="AK319" s="318">
        <v>976171.84000000102</v>
      </c>
      <c r="AL319" s="318">
        <v>613569.00999999803</v>
      </c>
      <c r="AM319" s="318">
        <v>92678.210000001898</v>
      </c>
      <c r="AN319" s="318">
        <v>-586096.89</v>
      </c>
      <c r="AO319" s="318">
        <v>-506168.4</v>
      </c>
      <c r="AP319" s="318">
        <v>729619.45</v>
      </c>
      <c r="AQ319" s="318">
        <v>1227207.99</v>
      </c>
      <c r="AR319" s="318">
        <v>1207784.99</v>
      </c>
      <c r="AS319" s="318">
        <v>1508935.88</v>
      </c>
      <c r="AT319" s="319">
        <v>10881388.201440301</v>
      </c>
      <c r="AU319" s="161"/>
      <c r="AV319" s="161"/>
    </row>
    <row r="320" spans="1:48" ht="13.5" customHeight="1">
      <c r="A320" s="206"/>
      <c r="B320" s="206"/>
      <c r="D320" s="320" t="s">
        <v>707</v>
      </c>
      <c r="E320" s="276" t="s">
        <v>370</v>
      </c>
      <c r="F320" s="321">
        <v>9.0462418452851301E-2</v>
      </c>
      <c r="G320" s="322">
        <v>5.1638458083369802E-2</v>
      </c>
      <c r="H320" s="322">
        <v>4.1385001811746598E-2</v>
      </c>
      <c r="I320" s="322"/>
      <c r="J320" s="322"/>
      <c r="K320" s="322"/>
      <c r="L320" s="322"/>
      <c r="M320" s="322"/>
      <c r="N320" s="322"/>
      <c r="O320" s="322"/>
      <c r="P320" s="322"/>
      <c r="Q320" s="322"/>
      <c r="R320" s="323">
        <v>6.21781544847676E-2</v>
      </c>
      <c r="S320" s="276"/>
      <c r="T320" s="321">
        <v>3.9334909498089403E-3</v>
      </c>
      <c r="U320" s="322">
        <v>2.7951782189344299E-2</v>
      </c>
      <c r="V320" s="322">
        <v>3.1357673200265897E-2</v>
      </c>
      <c r="W320" s="322">
        <v>9.2368884189415301E-2</v>
      </c>
      <c r="X320" s="322">
        <v>9.1661206534045497E-2</v>
      </c>
      <c r="Y320" s="322">
        <v>0.107518173293908</v>
      </c>
      <c r="Z320" s="322">
        <v>0.17707687582530199</v>
      </c>
      <c r="AA320" s="322">
        <v>0.168637266195205</v>
      </c>
      <c r="AB320" s="324">
        <v>0.17202692671005401</v>
      </c>
      <c r="AC320" s="324">
        <v>0.194766904697287</v>
      </c>
      <c r="AD320" s="324">
        <v>0.20128610392160801</v>
      </c>
      <c r="AE320" s="324">
        <v>0.20877420729548399</v>
      </c>
      <c r="AF320" s="323">
        <v>2.1277129534905199E-2</v>
      </c>
      <c r="AG320" s="276"/>
      <c r="AH320" s="321">
        <v>0.226587692075812</v>
      </c>
      <c r="AI320" s="322">
        <v>0.18019343128799201</v>
      </c>
      <c r="AJ320" s="322">
        <v>0.156332909005482</v>
      </c>
      <c r="AK320" s="322">
        <v>9.7873512403608004E-2</v>
      </c>
      <c r="AL320" s="322">
        <v>9.9517440525577802E-2</v>
      </c>
      <c r="AM320" s="322">
        <v>2.62382479010261E-2</v>
      </c>
      <c r="AN320" s="322">
        <v>-4.2358914139546899E-2</v>
      </c>
      <c r="AO320" s="322">
        <v>-5.67755781551324E-3</v>
      </c>
      <c r="AP320" s="322">
        <v>0.121944153718707</v>
      </c>
      <c r="AQ320" s="322">
        <v>0.16474540837457999</v>
      </c>
      <c r="AR320" s="322">
        <v>0.171253690790481</v>
      </c>
      <c r="AS320" s="322">
        <v>0.17501183631408401</v>
      </c>
      <c r="AT320" s="323">
        <v>0.118950444347684</v>
      </c>
      <c r="AU320" s="276"/>
      <c r="AV320" s="276"/>
    </row>
    <row r="321" spans="1:48" ht="13.5" customHeight="1">
      <c r="A321" s="206"/>
      <c r="B321" s="206"/>
      <c r="D321" s="275" t="s">
        <v>708</v>
      </c>
      <c r="E321" s="276" t="s">
        <v>370</v>
      </c>
      <c r="F321" s="325">
        <v>5.1898653432255401E-2</v>
      </c>
      <c r="G321" s="326">
        <v>-0.14696846582501999</v>
      </c>
      <c r="H321" s="326">
        <v>-9.5908586062683904E-2</v>
      </c>
      <c r="I321" s="326"/>
      <c r="J321" s="326"/>
      <c r="K321" s="326"/>
      <c r="L321" s="326"/>
      <c r="M321" s="326"/>
      <c r="N321" s="326"/>
      <c r="O321" s="326"/>
      <c r="P321" s="326"/>
      <c r="Q321" s="326"/>
      <c r="R321" s="327">
        <v>-5.0995776892042197E-2</v>
      </c>
      <c r="S321" s="276"/>
      <c r="T321" s="325">
        <v>-1.1068733108108001E-2</v>
      </c>
      <c r="U321" s="326">
        <v>-1.1068733108108001E-2</v>
      </c>
      <c r="V321" s="326">
        <v>1.6367373481781501E-2</v>
      </c>
      <c r="W321" s="326">
        <v>3.6707759740259797E-2</v>
      </c>
      <c r="X321" s="326">
        <v>3.6707759740259797E-2</v>
      </c>
      <c r="Y321" s="326">
        <v>4.6605465425531997E-2</v>
      </c>
      <c r="Z321" s="326">
        <v>0.10487781171284601</v>
      </c>
      <c r="AA321" s="326">
        <v>0.10487781171284601</v>
      </c>
      <c r="AB321" s="328">
        <v>0.10487781171284601</v>
      </c>
      <c r="AC321" s="328">
        <v>0.12524396334792101</v>
      </c>
      <c r="AD321" s="328">
        <v>0.12812953158458201</v>
      </c>
      <c r="AE321" s="328">
        <v>0.12812953158458201</v>
      </c>
      <c r="AF321" s="327">
        <v>-1.2616154124456399E-3</v>
      </c>
      <c r="AG321" s="276"/>
      <c r="AH321" s="325">
        <v>0.20969257137196001</v>
      </c>
      <c r="AI321" s="326">
        <v>0.219870749927949</v>
      </c>
      <c r="AJ321" s="326">
        <v>0.14333400232810201</v>
      </c>
      <c r="AK321" s="326">
        <v>0.17831078527003699</v>
      </c>
      <c r="AL321" s="326">
        <v>-0.43125861061731402</v>
      </c>
      <c r="AM321" s="326">
        <v>-0.213327488571212</v>
      </c>
      <c r="AN321" s="326">
        <v>-0.62836423234725203</v>
      </c>
      <c r="AO321" s="326">
        <v>-1.35112286550116</v>
      </c>
      <c r="AP321" s="326">
        <v>-0.79581103181881097</v>
      </c>
      <c r="AQ321" s="326">
        <v>-0.28570738016380798</v>
      </c>
      <c r="AR321" s="326">
        <v>-0.95216723205183595</v>
      </c>
      <c r="AS321" s="326">
        <v>0.17216857873670699</v>
      </c>
      <c r="AT321" s="327">
        <v>-0.14773020297204101</v>
      </c>
      <c r="AU321" s="276"/>
      <c r="AV321" s="276"/>
    </row>
    <row r="322" spans="1:48" ht="13.5" customHeight="1">
      <c r="A322" s="206"/>
      <c r="B322" s="206"/>
      <c r="D322" s="329" t="s">
        <v>709</v>
      </c>
      <c r="E322" s="161" t="s">
        <v>370</v>
      </c>
      <c r="F322" s="330">
        <v>8.8733446237464902E-2</v>
      </c>
      <c r="G322" s="331">
        <v>4.4846583747862601E-2</v>
      </c>
      <c r="H322" s="331">
        <v>3.5765210224094297E-2</v>
      </c>
      <c r="I322" s="331"/>
      <c r="J322" s="331"/>
      <c r="K322" s="331"/>
      <c r="L322" s="331"/>
      <c r="M322" s="331"/>
      <c r="N322" s="331"/>
      <c r="O322" s="331"/>
      <c r="P322" s="331"/>
      <c r="Q322" s="331"/>
      <c r="R322" s="332">
        <v>5.7634566992715602E-2</v>
      </c>
      <c r="S322" s="161"/>
      <c r="T322" s="330">
        <v>3.1259345037695399E-3</v>
      </c>
      <c r="U322" s="331">
        <v>2.5897833309800399E-2</v>
      </c>
      <c r="V322" s="331">
        <v>3.0499623065450499E-2</v>
      </c>
      <c r="W322" s="331">
        <v>8.9070884470821496E-2</v>
      </c>
      <c r="X322" s="331">
        <v>8.8403884456816503E-2</v>
      </c>
      <c r="Y322" s="331">
        <v>0.103817678612589</v>
      </c>
      <c r="Z322" s="331">
        <v>0.17136359872254001</v>
      </c>
      <c r="AA322" s="331">
        <v>0.16353796435787599</v>
      </c>
      <c r="AB322" s="331">
        <v>0.166688571611495</v>
      </c>
      <c r="AC322" s="331">
        <v>0.188645621231534</v>
      </c>
      <c r="AD322" s="331">
        <v>0.19476550234019199</v>
      </c>
      <c r="AE322" s="331">
        <v>0.201647385551564</v>
      </c>
      <c r="AF322" s="332">
        <v>2.0046624304384301E-2</v>
      </c>
      <c r="AG322" s="161"/>
      <c r="AH322" s="330">
        <v>0.22503810694690099</v>
      </c>
      <c r="AI322" s="331">
        <v>0.18338743152122</v>
      </c>
      <c r="AJ322" s="331">
        <v>0.15504921115583001</v>
      </c>
      <c r="AK322" s="331">
        <v>0.10501101480281699</v>
      </c>
      <c r="AL322" s="331">
        <v>7.0662992633504798E-2</v>
      </c>
      <c r="AM322" s="331">
        <v>1.18707627944067E-2</v>
      </c>
      <c r="AN322" s="331">
        <v>-7.6731519620129807E-2</v>
      </c>
      <c r="AO322" s="331">
        <v>-5.9946932922262303E-2</v>
      </c>
      <c r="AP322" s="331">
        <v>8.2841333158102604E-2</v>
      </c>
      <c r="AQ322" s="331">
        <v>0.13984411994686599</v>
      </c>
      <c r="AR322" s="331">
        <v>0.13908998528754499</v>
      </c>
      <c r="AS322" s="331">
        <v>0.174884870014727</v>
      </c>
      <c r="AT322" s="332">
        <v>0.10206403719582199</v>
      </c>
      <c r="AU322" s="161"/>
      <c r="AV322" s="161"/>
    </row>
    <row r="323" spans="1:48" ht="13.5" hidden="1" customHeight="1">
      <c r="A323" s="178"/>
      <c r="B323" s="178"/>
      <c r="D323" s="333" t="s">
        <v>710</v>
      </c>
      <c r="E323" s="180" t="s">
        <v>370</v>
      </c>
      <c r="F323" s="250">
        <v>-315196.75</v>
      </c>
      <c r="G323" s="216">
        <v>-248859.56</v>
      </c>
      <c r="H323" s="216">
        <v>-274323.64</v>
      </c>
      <c r="I323" s="216"/>
      <c r="J323" s="216"/>
      <c r="K323" s="216"/>
      <c r="L323" s="216"/>
      <c r="M323" s="216"/>
      <c r="N323" s="216"/>
      <c r="O323" s="216"/>
      <c r="P323" s="216"/>
      <c r="Q323" s="216"/>
      <c r="R323" s="218">
        <v>-838379.95</v>
      </c>
      <c r="S323" s="180"/>
      <c r="T323" s="220">
        <v>-257372.435833333</v>
      </c>
      <c r="U323" s="221">
        <v>-257372.435833333</v>
      </c>
      <c r="V323" s="221">
        <v>-257372.435833333</v>
      </c>
      <c r="W323" s="221">
        <v>-257372.435833333</v>
      </c>
      <c r="X323" s="221">
        <v>-257372.435833333</v>
      </c>
      <c r="Y323" s="221">
        <v>-257372.435833333</v>
      </c>
      <c r="Z323" s="221">
        <v>-257372.435833333</v>
      </c>
      <c r="AA323" s="221">
        <v>-257372.435833333</v>
      </c>
      <c r="AB323" s="221">
        <v>-257372.435833333</v>
      </c>
      <c r="AC323" s="221">
        <v>-257372.435833333</v>
      </c>
      <c r="AD323" s="221">
        <v>-257372.435833333</v>
      </c>
      <c r="AE323" s="221">
        <v>-257372.435833333</v>
      </c>
      <c r="AF323" s="218">
        <v>-772117.3075</v>
      </c>
      <c r="AG323" s="180"/>
      <c r="AH323" s="250">
        <v>-449430.82</v>
      </c>
      <c r="AI323" s="216">
        <v>-470351.9</v>
      </c>
      <c r="AJ323" s="216">
        <v>-458160.16</v>
      </c>
      <c r="AK323" s="216">
        <v>-550796.79</v>
      </c>
      <c r="AL323" s="216">
        <v>-470017.5</v>
      </c>
      <c r="AM323" s="216">
        <v>-415343.15</v>
      </c>
      <c r="AN323" s="216">
        <v>-330701.56</v>
      </c>
      <c r="AO323" s="253">
        <v>-427410.53</v>
      </c>
      <c r="AP323" s="216">
        <v>-321823.83</v>
      </c>
      <c r="AQ323" s="216">
        <v>-359397.05</v>
      </c>
      <c r="AR323" s="216">
        <v>-298482.12</v>
      </c>
      <c r="AS323" s="216">
        <v>-174990.75</v>
      </c>
      <c r="AT323" s="218">
        <v>-4726906.16</v>
      </c>
      <c r="AU323" s="180"/>
      <c r="AV323" s="180"/>
    </row>
    <row r="324" spans="1:48" ht="13.5" hidden="1" customHeight="1">
      <c r="A324" s="178"/>
      <c r="B324" s="178"/>
      <c r="D324" s="334" t="s">
        <v>711</v>
      </c>
      <c r="E324" s="180" t="s">
        <v>370</v>
      </c>
      <c r="F324" s="202"/>
      <c r="G324" s="203"/>
      <c r="H324" s="216"/>
      <c r="I324" s="203"/>
      <c r="J324" s="203"/>
      <c r="K324" s="203"/>
      <c r="L324" s="203"/>
      <c r="M324" s="203"/>
      <c r="N324" s="203"/>
      <c r="O324" s="203"/>
      <c r="P324" s="203"/>
      <c r="Q324" s="203"/>
      <c r="R324" s="205">
        <v>0</v>
      </c>
      <c r="S324" s="180"/>
      <c r="T324" s="220">
        <v>-28583</v>
      </c>
      <c r="U324" s="221">
        <v>-28583</v>
      </c>
      <c r="V324" s="221">
        <v>-28583</v>
      </c>
      <c r="W324" s="221">
        <v>-28583</v>
      </c>
      <c r="X324" s="221">
        <v>-28583</v>
      </c>
      <c r="Y324" s="221">
        <v>-28583</v>
      </c>
      <c r="Z324" s="221">
        <v>-28583</v>
      </c>
      <c r="AA324" s="221">
        <v>-28583</v>
      </c>
      <c r="AB324" s="221">
        <v>-28583</v>
      </c>
      <c r="AC324" s="221">
        <v>-28583</v>
      </c>
      <c r="AD324" s="221">
        <v>-28583</v>
      </c>
      <c r="AE324" s="221">
        <v>-28583</v>
      </c>
      <c r="AF324" s="218">
        <v>-85749</v>
      </c>
      <c r="AG324" s="180"/>
      <c r="AH324" s="202"/>
      <c r="AI324" s="203"/>
      <c r="AJ324" s="216"/>
      <c r="AK324" s="203"/>
      <c r="AL324" s="203"/>
      <c r="AM324" s="203"/>
      <c r="AN324" s="203"/>
      <c r="AO324" s="219">
        <v>-78602</v>
      </c>
      <c r="AP324" s="219">
        <v>-78602</v>
      </c>
      <c r="AQ324" s="219">
        <v>-78602</v>
      </c>
      <c r="AR324" s="219">
        <v>-78602</v>
      </c>
      <c r="AS324" s="219">
        <v>-78602</v>
      </c>
      <c r="AT324" s="205">
        <v>-393010</v>
      </c>
      <c r="AU324" s="180"/>
      <c r="AV324" s="180"/>
    </row>
    <row r="325" spans="1:48" ht="13.5" customHeight="1">
      <c r="A325" s="206"/>
      <c r="B325" s="206"/>
      <c r="D325" s="275" t="s">
        <v>712</v>
      </c>
      <c r="E325" s="276" t="s">
        <v>370</v>
      </c>
      <c r="F325" s="277">
        <v>-315196.75</v>
      </c>
      <c r="G325" s="278">
        <v>-248859.56</v>
      </c>
      <c r="H325" s="278">
        <v>-274323.64</v>
      </c>
      <c r="I325" s="278">
        <v>0</v>
      </c>
      <c r="J325" s="278">
        <v>0</v>
      </c>
      <c r="K325" s="278">
        <v>0</v>
      </c>
      <c r="L325" s="278">
        <v>0</v>
      </c>
      <c r="M325" s="278">
        <v>0</v>
      </c>
      <c r="N325" s="278">
        <v>0</v>
      </c>
      <c r="O325" s="278">
        <v>0</v>
      </c>
      <c r="P325" s="278">
        <v>0</v>
      </c>
      <c r="Q325" s="278">
        <v>0</v>
      </c>
      <c r="R325" s="279">
        <v>-838379.95</v>
      </c>
      <c r="S325" s="276"/>
      <c r="T325" s="277">
        <v>-285955.435833333</v>
      </c>
      <c r="U325" s="278">
        <v>-285955.435833333</v>
      </c>
      <c r="V325" s="278">
        <v>-285955.435833333</v>
      </c>
      <c r="W325" s="278">
        <v>-285955.435833333</v>
      </c>
      <c r="X325" s="278">
        <v>-285955.435833333</v>
      </c>
      <c r="Y325" s="278">
        <v>-285955.435833333</v>
      </c>
      <c r="Z325" s="278">
        <v>-285955.435833333</v>
      </c>
      <c r="AA325" s="278">
        <v>-285955.435833333</v>
      </c>
      <c r="AB325" s="278">
        <v>-285955.435833333</v>
      </c>
      <c r="AC325" s="278">
        <v>-285955.435833333</v>
      </c>
      <c r="AD325" s="278">
        <v>-285955.435833333</v>
      </c>
      <c r="AE325" s="278">
        <v>-285955.435833333</v>
      </c>
      <c r="AF325" s="279">
        <v>-857866.3075</v>
      </c>
      <c r="AG325" s="276"/>
      <c r="AH325" s="277">
        <v>-449430.82</v>
      </c>
      <c r="AI325" s="278">
        <v>-470351.9</v>
      </c>
      <c r="AJ325" s="278">
        <v>-458160.16</v>
      </c>
      <c r="AK325" s="278">
        <v>-550796.79</v>
      </c>
      <c r="AL325" s="278">
        <v>-470017.5</v>
      </c>
      <c r="AM325" s="278">
        <v>-415343.15</v>
      </c>
      <c r="AN325" s="278">
        <v>-330701.56</v>
      </c>
      <c r="AO325" s="278">
        <v>-506012.53</v>
      </c>
      <c r="AP325" s="278">
        <v>-400425.83</v>
      </c>
      <c r="AQ325" s="278">
        <v>-437999.05</v>
      </c>
      <c r="AR325" s="278">
        <v>-377084.12</v>
      </c>
      <c r="AS325" s="278">
        <v>-253592.75</v>
      </c>
      <c r="AT325" s="279">
        <v>-5119916.16</v>
      </c>
      <c r="AU325" s="276"/>
      <c r="AV325" s="276"/>
    </row>
    <row r="326" spans="1:48" ht="13.5" hidden="1" customHeight="1">
      <c r="A326" s="178"/>
      <c r="B326" s="178"/>
      <c r="D326" s="334" t="s">
        <v>713</v>
      </c>
      <c r="E326" s="180" t="s">
        <v>370</v>
      </c>
      <c r="F326" s="202">
        <v>-165914.48000000001</v>
      </c>
      <c r="G326" s="203">
        <v>-198861.89</v>
      </c>
      <c r="H326" s="216">
        <v>-200895.17</v>
      </c>
      <c r="I326" s="203"/>
      <c r="J326" s="203"/>
      <c r="K326" s="203"/>
      <c r="L326" s="203"/>
      <c r="M326" s="203"/>
      <c r="N326" s="203"/>
      <c r="O326" s="203"/>
      <c r="P326" s="203"/>
      <c r="Q326" s="203"/>
      <c r="R326" s="205">
        <v>-565671.54</v>
      </c>
      <c r="S326" s="180"/>
      <c r="T326" s="220">
        <v>-126909.18416666699</v>
      </c>
      <c r="U326" s="221">
        <v>-126909.18416666699</v>
      </c>
      <c r="V326" s="221">
        <v>-126909.18416666699</v>
      </c>
      <c r="W326" s="221">
        <v>-126909.18416666699</v>
      </c>
      <c r="X326" s="221">
        <v>-126909.18416666699</v>
      </c>
      <c r="Y326" s="221">
        <v>-126909.18416666699</v>
      </c>
      <c r="Z326" s="221">
        <v>-126909.18416666699</v>
      </c>
      <c r="AA326" s="221">
        <v>-126909.18416666699</v>
      </c>
      <c r="AB326" s="221">
        <v>-126909.18416666699</v>
      </c>
      <c r="AC326" s="221">
        <v>-126909.18416666699</v>
      </c>
      <c r="AD326" s="221">
        <v>-126909.18416666699</v>
      </c>
      <c r="AE326" s="221">
        <v>-126909.18416666699</v>
      </c>
      <c r="AF326" s="218">
        <v>-380727.55249999999</v>
      </c>
      <c r="AG326" s="180"/>
      <c r="AH326" s="202">
        <v>-180676.35</v>
      </c>
      <c r="AI326" s="203">
        <v>-182981.52</v>
      </c>
      <c r="AJ326" s="216">
        <v>-169736.23</v>
      </c>
      <c r="AK326" s="203">
        <v>-139137.20000000001</v>
      </c>
      <c r="AL326" s="203">
        <v>-136258.29999999999</v>
      </c>
      <c r="AM326" s="203">
        <v>-131955.62</v>
      </c>
      <c r="AN326" s="203">
        <v>-139094.29999999999</v>
      </c>
      <c r="AO326" s="219">
        <v>-198504.95999999999</v>
      </c>
      <c r="AP326" s="203">
        <v>-167195.38</v>
      </c>
      <c r="AQ326" s="203">
        <v>-231398.07</v>
      </c>
      <c r="AR326" s="203">
        <v>-226063.83</v>
      </c>
      <c r="AS326" s="203">
        <v>-132985.42000000001</v>
      </c>
      <c r="AT326" s="205">
        <v>-2035987.18</v>
      </c>
      <c r="AU326" s="180"/>
      <c r="AV326" s="180"/>
    </row>
    <row r="327" spans="1:48" ht="13.5" hidden="1" customHeight="1">
      <c r="A327" s="178"/>
      <c r="B327" s="178"/>
      <c r="D327" s="334" t="s">
        <v>714</v>
      </c>
      <c r="E327" s="180" t="s">
        <v>370</v>
      </c>
      <c r="F327" s="202">
        <v>-137970.23000000001</v>
      </c>
      <c r="G327" s="203">
        <v>-172629.49</v>
      </c>
      <c r="H327" s="216">
        <v>-154193.97</v>
      </c>
      <c r="I327" s="203"/>
      <c r="J327" s="203"/>
      <c r="K327" s="203"/>
      <c r="L327" s="203"/>
      <c r="M327" s="203"/>
      <c r="N327" s="203"/>
      <c r="O327" s="203"/>
      <c r="P327" s="203"/>
      <c r="Q327" s="203"/>
      <c r="R327" s="205">
        <v>-464793.69</v>
      </c>
      <c r="S327" s="180"/>
      <c r="T327" s="220">
        <v>-137800.66875000001</v>
      </c>
      <c r="U327" s="221">
        <v>-137800.66875000001</v>
      </c>
      <c r="V327" s="221">
        <v>-137800.66875000001</v>
      </c>
      <c r="W327" s="221">
        <v>-137800.66875000001</v>
      </c>
      <c r="X327" s="221">
        <v>-148800.66875000001</v>
      </c>
      <c r="Y327" s="221">
        <v>-137800.66875000001</v>
      </c>
      <c r="Z327" s="221">
        <v>-141800.66875000001</v>
      </c>
      <c r="AA327" s="221">
        <v>-137800.66875000001</v>
      </c>
      <c r="AB327" s="221">
        <v>-137800.66875000001</v>
      </c>
      <c r="AC327" s="221">
        <v>-139800.66875000001</v>
      </c>
      <c r="AD327" s="221">
        <v>-137800.66875000001</v>
      </c>
      <c r="AE327" s="221">
        <v>-143800.66875000001</v>
      </c>
      <c r="AF327" s="218">
        <v>-413402.00624999998</v>
      </c>
      <c r="AG327" s="180"/>
      <c r="AH327" s="202">
        <v>-221324.04</v>
      </c>
      <c r="AI327" s="203">
        <v>-192563.89</v>
      </c>
      <c r="AJ327" s="216">
        <v>-233361.96</v>
      </c>
      <c r="AK327" s="203">
        <v>-204949.85</v>
      </c>
      <c r="AL327" s="203">
        <v>-185717.07</v>
      </c>
      <c r="AM327" s="203">
        <v>-200876.07</v>
      </c>
      <c r="AN327" s="203">
        <v>-190597.2</v>
      </c>
      <c r="AO327" s="219">
        <v>-204251.5</v>
      </c>
      <c r="AP327" s="203">
        <v>-219466.32</v>
      </c>
      <c r="AQ327" s="203">
        <v>-215611.1</v>
      </c>
      <c r="AR327" s="203">
        <v>-203910.85</v>
      </c>
      <c r="AS327" s="203">
        <v>-238301.4</v>
      </c>
      <c r="AT327" s="205">
        <v>-2510931.25</v>
      </c>
      <c r="AU327" s="180"/>
      <c r="AV327" s="180"/>
    </row>
    <row r="328" spans="1:48" ht="13.5" hidden="1" customHeight="1">
      <c r="A328" s="178"/>
      <c r="B328" s="178"/>
      <c r="D328" s="334" t="s">
        <v>715</v>
      </c>
      <c r="E328" s="180" t="s">
        <v>370</v>
      </c>
      <c r="F328" s="202">
        <v>-226112.92</v>
      </c>
      <c r="G328" s="203">
        <v>-235076.06</v>
      </c>
      <c r="H328" s="216">
        <v>-205582.24</v>
      </c>
      <c r="I328" s="203"/>
      <c r="J328" s="203"/>
      <c r="K328" s="203"/>
      <c r="L328" s="203"/>
      <c r="M328" s="203"/>
      <c r="N328" s="203"/>
      <c r="O328" s="203"/>
      <c r="P328" s="203"/>
      <c r="Q328" s="203"/>
      <c r="R328" s="205">
        <v>-666771.22</v>
      </c>
      <c r="S328" s="180"/>
      <c r="T328" s="220">
        <v>-196944.95541666701</v>
      </c>
      <c r="U328" s="221">
        <v>-196944.95541666701</v>
      </c>
      <c r="V328" s="221">
        <v>-196944.95541666701</v>
      </c>
      <c r="W328" s="221">
        <v>-196944.95541666701</v>
      </c>
      <c r="X328" s="221">
        <v>-196944.95541666701</v>
      </c>
      <c r="Y328" s="221">
        <v>-196944.95541666701</v>
      </c>
      <c r="Z328" s="221">
        <v>-196944.95541666701</v>
      </c>
      <c r="AA328" s="221">
        <v>-196944.95541666701</v>
      </c>
      <c r="AB328" s="221">
        <v>-196944.95541666701</v>
      </c>
      <c r="AC328" s="221">
        <v>-196944.95541666701</v>
      </c>
      <c r="AD328" s="221">
        <v>-196944.95541666701</v>
      </c>
      <c r="AE328" s="221">
        <v>-196944.95541666701</v>
      </c>
      <c r="AF328" s="218">
        <v>-590834.86624999996</v>
      </c>
      <c r="AG328" s="180"/>
      <c r="AH328" s="202">
        <v>-319936.98</v>
      </c>
      <c r="AI328" s="203">
        <v>-321158.93</v>
      </c>
      <c r="AJ328" s="216">
        <v>-307202.08</v>
      </c>
      <c r="AK328" s="203">
        <v>-356039.74</v>
      </c>
      <c r="AL328" s="203">
        <v>-261420.46</v>
      </c>
      <c r="AM328" s="203">
        <v>-237132.88</v>
      </c>
      <c r="AN328" s="203">
        <v>-259468.75</v>
      </c>
      <c r="AO328" s="219">
        <v>-292256.39</v>
      </c>
      <c r="AP328" s="203">
        <v>-332322.58</v>
      </c>
      <c r="AQ328" s="203">
        <v>-337839.57</v>
      </c>
      <c r="AR328" s="203">
        <v>-331693.86</v>
      </c>
      <c r="AS328" s="203">
        <v>-289761.32</v>
      </c>
      <c r="AT328" s="205">
        <v>-3646233.54</v>
      </c>
      <c r="AU328" s="180"/>
      <c r="AV328" s="180"/>
    </row>
    <row r="329" spans="1:48" ht="13.5" hidden="1" customHeight="1">
      <c r="A329" s="178"/>
      <c r="B329" s="178"/>
      <c r="D329" s="334" t="s">
        <v>716</v>
      </c>
      <c r="E329" s="180" t="s">
        <v>370</v>
      </c>
      <c r="F329" s="202">
        <v>-84082.83</v>
      </c>
      <c r="G329" s="203">
        <v>-85049.99</v>
      </c>
      <c r="H329" s="216">
        <v>-82394.92</v>
      </c>
      <c r="I329" s="203"/>
      <c r="J329" s="203"/>
      <c r="K329" s="203"/>
      <c r="L329" s="203"/>
      <c r="M329" s="203"/>
      <c r="N329" s="203"/>
      <c r="O329" s="203"/>
      <c r="P329" s="203"/>
      <c r="Q329" s="203"/>
      <c r="R329" s="205">
        <v>-251527.74</v>
      </c>
      <c r="S329" s="180"/>
      <c r="T329" s="220">
        <v>-88551.145000000004</v>
      </c>
      <c r="U329" s="221">
        <v>-88551.145000000004</v>
      </c>
      <c r="V329" s="221">
        <v>-88551.145000000004</v>
      </c>
      <c r="W329" s="221">
        <v>-88551.145000000004</v>
      </c>
      <c r="X329" s="221">
        <v>-88551.145000000004</v>
      </c>
      <c r="Y329" s="221">
        <v>-88551.145000000004</v>
      </c>
      <c r="Z329" s="221">
        <v>-88551.145000000004</v>
      </c>
      <c r="AA329" s="221">
        <v>-88551.145000000004</v>
      </c>
      <c r="AB329" s="221">
        <v>-88551.145000000004</v>
      </c>
      <c r="AC329" s="221">
        <v>-88551.145000000004</v>
      </c>
      <c r="AD329" s="221">
        <v>-88551.145000000004</v>
      </c>
      <c r="AE329" s="221">
        <v>-88551.145000000004</v>
      </c>
      <c r="AF329" s="218">
        <v>-265653.435</v>
      </c>
      <c r="AG329" s="180"/>
      <c r="AH329" s="202">
        <v>-98858.01</v>
      </c>
      <c r="AI329" s="203">
        <v>-85685.31</v>
      </c>
      <c r="AJ329" s="216">
        <v>-95462.39</v>
      </c>
      <c r="AK329" s="203">
        <v>-100580.07</v>
      </c>
      <c r="AL329" s="203">
        <v>-103696.6</v>
      </c>
      <c r="AM329" s="203">
        <v>-80924.98</v>
      </c>
      <c r="AN329" s="203">
        <v>-83492.95</v>
      </c>
      <c r="AO329" s="219">
        <v>-202572.9</v>
      </c>
      <c r="AP329" s="203">
        <v>-145255.10999999999</v>
      </c>
      <c r="AQ329" s="203">
        <v>-143612.89000000001</v>
      </c>
      <c r="AR329" s="203">
        <v>-133956.21</v>
      </c>
      <c r="AS329" s="203">
        <v>-122987.02</v>
      </c>
      <c r="AT329" s="205">
        <v>-1397084.44</v>
      </c>
      <c r="AU329" s="180"/>
      <c r="AV329" s="180"/>
    </row>
    <row r="330" spans="1:48" ht="13.5" hidden="1" customHeight="1">
      <c r="A330" s="178"/>
      <c r="B330" s="178"/>
      <c r="D330" s="334" t="s">
        <v>717</v>
      </c>
      <c r="E330" s="180" t="s">
        <v>370</v>
      </c>
      <c r="F330" s="202">
        <v>-150286.43</v>
      </c>
      <c r="G330" s="203">
        <v>-179892.42</v>
      </c>
      <c r="H330" s="216">
        <v>-156103.65</v>
      </c>
      <c r="I330" s="203"/>
      <c r="J330" s="203"/>
      <c r="K330" s="203"/>
      <c r="L330" s="203"/>
      <c r="M330" s="203"/>
      <c r="N330" s="203"/>
      <c r="O330" s="203"/>
      <c r="P330" s="203"/>
      <c r="Q330" s="203"/>
      <c r="R330" s="205">
        <v>-486282.5</v>
      </c>
      <c r="S330" s="180"/>
      <c r="T330" s="220">
        <v>-146961.934583333</v>
      </c>
      <c r="U330" s="221">
        <v>-146961.934583333</v>
      </c>
      <c r="V330" s="221">
        <v>-146961.934583333</v>
      </c>
      <c r="W330" s="221">
        <v>-146961.934583333</v>
      </c>
      <c r="X330" s="221">
        <v>-146961.934583333</v>
      </c>
      <c r="Y330" s="221">
        <v>-146961.934583333</v>
      </c>
      <c r="Z330" s="221">
        <v>-146961.934583333</v>
      </c>
      <c r="AA330" s="221">
        <v>-146961.934583333</v>
      </c>
      <c r="AB330" s="221">
        <v>-146961.934583333</v>
      </c>
      <c r="AC330" s="221">
        <v>-146961.934583333</v>
      </c>
      <c r="AD330" s="221">
        <v>-146961.934583333</v>
      </c>
      <c r="AE330" s="221">
        <v>-146961.934583333</v>
      </c>
      <c r="AF330" s="218">
        <v>-440885.80375000002</v>
      </c>
      <c r="AG330" s="180"/>
      <c r="AH330" s="202">
        <v>-140439.18</v>
      </c>
      <c r="AI330" s="203">
        <v>-132371.54999999999</v>
      </c>
      <c r="AJ330" s="216">
        <v>-151675.65</v>
      </c>
      <c r="AK330" s="203">
        <v>-127015.05</v>
      </c>
      <c r="AL330" s="203">
        <v>-138979.67000000001</v>
      </c>
      <c r="AM330" s="203">
        <v>-190101.11</v>
      </c>
      <c r="AN330" s="203">
        <v>-269186.59000000003</v>
      </c>
      <c r="AO330" s="203">
        <v>-220389.06</v>
      </c>
      <c r="AP330" s="203">
        <v>-248034.35</v>
      </c>
      <c r="AQ330" s="203">
        <v>-215186.93</v>
      </c>
      <c r="AR330" s="203">
        <v>-191657.17</v>
      </c>
      <c r="AS330" s="203">
        <v>-279296.68</v>
      </c>
      <c r="AT330" s="205">
        <v>-2304332.9900000002</v>
      </c>
      <c r="AU330" s="180"/>
      <c r="AV330" s="180"/>
    </row>
    <row r="331" spans="1:48" ht="13.5" customHeight="1">
      <c r="A331" s="206"/>
      <c r="B331" s="206"/>
      <c r="D331" s="275" t="s">
        <v>718</v>
      </c>
      <c r="E331" s="276" t="s">
        <v>370</v>
      </c>
      <c r="F331" s="277">
        <v>-764366.89</v>
      </c>
      <c r="G331" s="277">
        <v>-871509.85</v>
      </c>
      <c r="H331" s="278">
        <v>-799169.95</v>
      </c>
      <c r="I331" s="278"/>
      <c r="J331" s="278"/>
      <c r="K331" s="278"/>
      <c r="L331" s="335"/>
      <c r="M331" s="278"/>
      <c r="N331" s="278"/>
      <c r="O331" s="278"/>
      <c r="P331" s="278"/>
      <c r="Q331" s="278"/>
      <c r="R331" s="279">
        <v>-2435046.69</v>
      </c>
      <c r="S331" s="276"/>
      <c r="T331" s="277">
        <v>-697167.88791666704</v>
      </c>
      <c r="U331" s="278">
        <v>-697167.88791666704</v>
      </c>
      <c r="V331" s="278">
        <v>-697167.88791666704</v>
      </c>
      <c r="W331" s="278">
        <v>-697167.88791666704</v>
      </c>
      <c r="X331" s="278">
        <v>-708167.88791666704</v>
      </c>
      <c r="Y331" s="278">
        <v>-697167.88791666704</v>
      </c>
      <c r="Z331" s="335">
        <v>-701167.88791666704</v>
      </c>
      <c r="AA331" s="278">
        <v>-697167.88791666704</v>
      </c>
      <c r="AB331" s="278">
        <v>-697167.88791666704</v>
      </c>
      <c r="AC331" s="278">
        <v>-699167.88791666704</v>
      </c>
      <c r="AD331" s="278">
        <v>-697167.88791666704</v>
      </c>
      <c r="AE331" s="278">
        <v>-703167.88791666704</v>
      </c>
      <c r="AF331" s="218">
        <v>-2091503.6637500001</v>
      </c>
      <c r="AG331" s="276"/>
      <c r="AH331" s="277">
        <v>-961234.56</v>
      </c>
      <c r="AI331" s="278">
        <v>-914761.2</v>
      </c>
      <c r="AJ331" s="278">
        <v>-957438.31</v>
      </c>
      <c r="AK331" s="278">
        <v>-927721.91</v>
      </c>
      <c r="AL331" s="278">
        <v>-826072.1</v>
      </c>
      <c r="AM331" s="278">
        <v>-840990.66</v>
      </c>
      <c r="AN331" s="335">
        <v>-941839.79</v>
      </c>
      <c r="AO331" s="278">
        <v>-1117974.81</v>
      </c>
      <c r="AP331" s="278">
        <v>-1112273.74</v>
      </c>
      <c r="AQ331" s="278">
        <v>-1143648.56</v>
      </c>
      <c r="AR331" s="278">
        <v>-1087281.92</v>
      </c>
      <c r="AS331" s="278">
        <v>-1063331.8400000001</v>
      </c>
      <c r="AT331" s="279">
        <v>-11894569.4</v>
      </c>
      <c r="AU331" s="276"/>
      <c r="AV331" s="276"/>
    </row>
    <row r="332" spans="1:48" ht="13.5" customHeight="1">
      <c r="A332" s="159"/>
      <c r="B332" s="159"/>
      <c r="D332" s="336" t="s">
        <v>719</v>
      </c>
      <c r="E332" s="161" t="s">
        <v>370</v>
      </c>
      <c r="F332" s="337">
        <v>-1079563.6399999999</v>
      </c>
      <c r="G332" s="338">
        <v>-1120369.4099999999</v>
      </c>
      <c r="H332" s="338">
        <v>-1073493.5900000001</v>
      </c>
      <c r="I332" s="338">
        <v>0</v>
      </c>
      <c r="J332" s="338">
        <v>0</v>
      </c>
      <c r="K332" s="338">
        <v>0</v>
      </c>
      <c r="L332" s="338">
        <v>0</v>
      </c>
      <c r="M332" s="338">
        <v>0</v>
      </c>
      <c r="N332" s="338">
        <v>0</v>
      </c>
      <c r="O332" s="338">
        <v>0</v>
      </c>
      <c r="P332" s="338">
        <v>0</v>
      </c>
      <c r="Q332" s="338">
        <v>0</v>
      </c>
      <c r="R332" s="339">
        <v>-3273426.64</v>
      </c>
      <c r="S332" s="161"/>
      <c r="T332" s="337">
        <v>-983123.32374999998</v>
      </c>
      <c r="U332" s="338">
        <v>-983123.32374999998</v>
      </c>
      <c r="V332" s="338">
        <v>-983123.32374999998</v>
      </c>
      <c r="W332" s="338">
        <v>-983123.32374999998</v>
      </c>
      <c r="X332" s="338">
        <v>-994123.32374999998</v>
      </c>
      <c r="Y332" s="338">
        <v>-983123.32374999998</v>
      </c>
      <c r="Z332" s="338">
        <v>-987123.32374999998</v>
      </c>
      <c r="AA332" s="338">
        <v>-983123.32374999998</v>
      </c>
      <c r="AB332" s="338">
        <v>-983123.32374999998</v>
      </c>
      <c r="AC332" s="338">
        <v>-985123.32374999998</v>
      </c>
      <c r="AD332" s="338">
        <v>-983123.32374999998</v>
      </c>
      <c r="AE332" s="338">
        <v>-989123.32374999998</v>
      </c>
      <c r="AF332" s="339">
        <v>-2949369.9712499999</v>
      </c>
      <c r="AG332" s="161"/>
      <c r="AH332" s="337">
        <v>-1410665.38</v>
      </c>
      <c r="AI332" s="338">
        <v>-1385113.1</v>
      </c>
      <c r="AJ332" s="338">
        <v>-1415598.47</v>
      </c>
      <c r="AK332" s="338">
        <v>-1478518.7</v>
      </c>
      <c r="AL332" s="338">
        <v>-1296089.6000000001</v>
      </c>
      <c r="AM332" s="338">
        <v>-1256333.81</v>
      </c>
      <c r="AN332" s="338">
        <v>-1272541.3500000001</v>
      </c>
      <c r="AO332" s="338">
        <v>-1623987.34</v>
      </c>
      <c r="AP332" s="338">
        <v>-1512699.57</v>
      </c>
      <c r="AQ332" s="338">
        <v>-1581647.61</v>
      </c>
      <c r="AR332" s="338">
        <v>-1464366.04</v>
      </c>
      <c r="AS332" s="338">
        <v>-1316924.5900000001</v>
      </c>
      <c r="AT332" s="339">
        <v>-17014485.559999999</v>
      </c>
      <c r="AU332" s="161"/>
      <c r="AV332" s="161"/>
    </row>
    <row r="333" spans="1:48" ht="13.5" customHeight="1">
      <c r="A333" s="206"/>
      <c r="B333" s="206"/>
      <c r="D333" s="207" t="s">
        <v>720</v>
      </c>
      <c r="E333" s="161" t="s">
        <v>370</v>
      </c>
      <c r="F333" s="208">
        <v>-325613.679999999</v>
      </c>
      <c r="G333" s="209">
        <v>-775249.49000000197</v>
      </c>
      <c r="H333" s="209">
        <v>-802294.66999999899</v>
      </c>
      <c r="I333" s="209">
        <v>0</v>
      </c>
      <c r="J333" s="209">
        <v>0</v>
      </c>
      <c r="K333" s="209">
        <v>0</v>
      </c>
      <c r="L333" s="209">
        <v>0</v>
      </c>
      <c r="M333" s="209">
        <v>0</v>
      </c>
      <c r="N333" s="209">
        <v>0</v>
      </c>
      <c r="O333" s="209">
        <v>0</v>
      </c>
      <c r="P333" s="209">
        <v>0</v>
      </c>
      <c r="Q333" s="209">
        <v>0</v>
      </c>
      <c r="R333" s="210">
        <v>-1903157.84</v>
      </c>
      <c r="S333" s="161"/>
      <c r="T333" s="208">
        <v>-957339.60212857102</v>
      </c>
      <c r="U333" s="209">
        <v>-764674.46942857106</v>
      </c>
      <c r="V333" s="209">
        <v>-719903.20942857105</v>
      </c>
      <c r="W333" s="209">
        <v>-172860.54069841199</v>
      </c>
      <c r="X333" s="209">
        <v>-190237.54069841199</v>
      </c>
      <c r="Y333" s="209">
        <v>-19297.540698412198</v>
      </c>
      <c r="Z333" s="209">
        <v>732310.065383779</v>
      </c>
      <c r="AA333" s="209">
        <v>640453.94847901806</v>
      </c>
      <c r="AB333" s="209">
        <v>681665.53847901803</v>
      </c>
      <c r="AC333" s="209">
        <v>973173.73276473302</v>
      </c>
      <c r="AD333" s="209">
        <v>1057790.1627647299</v>
      </c>
      <c r="AE333" s="209">
        <v>1142052.47276473</v>
      </c>
      <c r="AF333" s="210">
        <v>-2441917.2809857102</v>
      </c>
      <c r="AG333" s="161"/>
      <c r="AH333" s="208">
        <v>909448.07663968694</v>
      </c>
      <c r="AI333" s="209">
        <v>347873.01480065403</v>
      </c>
      <c r="AJ333" s="209">
        <v>148988.07999999999</v>
      </c>
      <c r="AK333" s="209">
        <v>-502346.859999999</v>
      </c>
      <c r="AL333" s="209">
        <v>-682520.59000000195</v>
      </c>
      <c r="AM333" s="209">
        <v>-1163655.6000000001</v>
      </c>
      <c r="AN333" s="209">
        <v>-1858638.24</v>
      </c>
      <c r="AO333" s="209">
        <v>-2130155.7400000002</v>
      </c>
      <c r="AP333" s="209">
        <v>-783080.12</v>
      </c>
      <c r="AQ333" s="209">
        <v>-354439.62000000098</v>
      </c>
      <c r="AR333" s="209">
        <v>-256581.05</v>
      </c>
      <c r="AS333" s="209">
        <v>192011.289999998</v>
      </c>
      <c r="AT333" s="210">
        <v>-6133097.3585596597</v>
      </c>
      <c r="AU333" s="161"/>
      <c r="AV333" s="161"/>
    </row>
    <row r="334" spans="1:48" ht="13.5" customHeight="1">
      <c r="A334" s="206"/>
      <c r="B334" s="206"/>
      <c r="D334" s="329" t="s">
        <v>721</v>
      </c>
      <c r="E334" s="161" t="s">
        <v>370</v>
      </c>
      <c r="F334" s="330">
        <v>-3.8321938459235302E-2</v>
      </c>
      <c r="G334" s="331">
        <v>-0.100739740490126</v>
      </c>
      <c r="H334" s="331">
        <v>-0.105805132019774</v>
      </c>
      <c r="I334" s="331"/>
      <c r="J334" s="331"/>
      <c r="K334" s="331"/>
      <c r="L334" s="331"/>
      <c r="M334" s="331"/>
      <c r="N334" s="331"/>
      <c r="O334" s="331"/>
      <c r="P334" s="331"/>
      <c r="Q334" s="331"/>
      <c r="R334" s="332">
        <v>-8.00482927343832E-2</v>
      </c>
      <c r="S334" s="161"/>
      <c r="T334" s="330">
        <v>-0.11606473797915901</v>
      </c>
      <c r="U334" s="331">
        <v>-9.0654684397575902E-2</v>
      </c>
      <c r="V334" s="331">
        <v>-8.3416028398069497E-2</v>
      </c>
      <c r="W334" s="331">
        <v>-1.9002281200828301E-2</v>
      </c>
      <c r="X334" s="331">
        <v>-2.0920556031492999E-2</v>
      </c>
      <c r="Y334" s="331">
        <v>-2.0786182663613999E-3</v>
      </c>
      <c r="Z334" s="331">
        <v>7.2984094049798096E-2</v>
      </c>
      <c r="AA334" s="331">
        <v>6.4510964024167797E-2</v>
      </c>
      <c r="AB334" s="331">
        <v>6.8252411764523693E-2</v>
      </c>
      <c r="AC334" s="331">
        <v>9.3747249822429102E-2</v>
      </c>
      <c r="AD334" s="331">
        <v>0.100945500033521</v>
      </c>
      <c r="AE334" s="331">
        <v>0.10805861049675999</v>
      </c>
      <c r="AF334" s="332">
        <v>-9.6466526345164005E-2</v>
      </c>
      <c r="AG334" s="161"/>
      <c r="AH334" s="330">
        <v>8.8211407484319104E-2</v>
      </c>
      <c r="AI334" s="331">
        <v>3.6812492688190798E-2</v>
      </c>
      <c r="AJ334" s="331">
        <v>1.47645934164663E-2</v>
      </c>
      <c r="AK334" s="331">
        <v>-5.4039618220915499E-2</v>
      </c>
      <c r="AL334" s="331">
        <v>-7.8603949412936705E-2</v>
      </c>
      <c r="AM334" s="331">
        <v>-0.149047760007263</v>
      </c>
      <c r="AN334" s="331">
        <v>-0.243332013891566</v>
      </c>
      <c r="AO334" s="331">
        <v>-0.25228027522016799</v>
      </c>
      <c r="AP334" s="331">
        <v>-8.8911282601371003E-2</v>
      </c>
      <c r="AQ334" s="331">
        <v>-4.0389483394091902E-2</v>
      </c>
      <c r="AR334" s="331">
        <v>-2.9548185119905201E-2</v>
      </c>
      <c r="AS334" s="331">
        <v>2.2254006905190599E-2</v>
      </c>
      <c r="AT334" s="332">
        <v>-5.7526545817634903E-2</v>
      </c>
      <c r="AU334" s="161"/>
      <c r="AV334" s="161"/>
    </row>
    <row r="335" spans="1:48" ht="13.5" customHeight="1">
      <c r="D335" s="340" t="s">
        <v>722</v>
      </c>
      <c r="E335" s="276" t="s">
        <v>370</v>
      </c>
      <c r="F335" s="341">
        <v>892248.56</v>
      </c>
      <c r="G335" s="342">
        <v>935171.54</v>
      </c>
      <c r="H335" s="343">
        <v>928933.52</v>
      </c>
      <c r="I335" s="343"/>
      <c r="J335" s="343"/>
      <c r="K335" s="343"/>
      <c r="L335" s="343"/>
      <c r="M335" s="343"/>
      <c r="N335" s="343"/>
      <c r="O335" s="343"/>
      <c r="P335" s="343"/>
      <c r="Q335" s="343"/>
      <c r="R335" s="344">
        <v>2756353.62</v>
      </c>
      <c r="S335" s="276"/>
      <c r="T335" s="220">
        <v>1005125.69345238</v>
      </c>
      <c r="U335" s="221">
        <v>1005125.69345238</v>
      </c>
      <c r="V335" s="221">
        <v>1005125.69345238</v>
      </c>
      <c r="W335" s="221">
        <v>1060558.39186508</v>
      </c>
      <c r="X335" s="221">
        <v>1060558.39186508</v>
      </c>
      <c r="Y335" s="221">
        <v>1060558.39186508</v>
      </c>
      <c r="Z335" s="221">
        <v>1060558.39186508</v>
      </c>
      <c r="AA335" s="221">
        <v>1060558.39186508</v>
      </c>
      <c r="AB335" s="221">
        <v>1060558.39186508</v>
      </c>
      <c r="AC335" s="221">
        <v>1060558.39186508</v>
      </c>
      <c r="AD335" s="221">
        <v>1060558.39186508</v>
      </c>
      <c r="AE335" s="221">
        <v>1060558.39186508</v>
      </c>
      <c r="AF335" s="344">
        <v>3015377.0803571399</v>
      </c>
      <c r="AG335" s="276"/>
      <c r="AH335" s="341">
        <v>962239.38</v>
      </c>
      <c r="AI335" s="342">
        <v>962383.03</v>
      </c>
      <c r="AJ335" s="343">
        <v>962872.56</v>
      </c>
      <c r="AK335" s="343">
        <v>956441.55</v>
      </c>
      <c r="AL335" s="343">
        <v>956684.79</v>
      </c>
      <c r="AM335" s="343">
        <v>949205.13</v>
      </c>
      <c r="AN335" s="343">
        <v>1022019.87</v>
      </c>
      <c r="AO335" s="343">
        <v>985861.76</v>
      </c>
      <c r="AP335" s="343">
        <v>956482.3</v>
      </c>
      <c r="AQ335" s="343">
        <v>954611.04</v>
      </c>
      <c r="AR335" s="343">
        <v>943553.93</v>
      </c>
      <c r="AS335" s="343">
        <v>939155.95</v>
      </c>
      <c r="AT335" s="344">
        <v>11551511.289999999</v>
      </c>
      <c r="AU335" s="276"/>
      <c r="AV335" s="276"/>
    </row>
    <row r="336" spans="1:48" ht="13.5" customHeight="1">
      <c r="A336" s="206"/>
      <c r="B336" s="206"/>
      <c r="D336" s="207" t="s">
        <v>723</v>
      </c>
      <c r="E336" s="161" t="s">
        <v>370</v>
      </c>
      <c r="F336" s="208">
        <v>566634.88000000105</v>
      </c>
      <c r="G336" s="209">
        <v>159922.04999999801</v>
      </c>
      <c r="H336" s="209">
        <v>126638.850000001</v>
      </c>
      <c r="I336" s="209">
        <v>0</v>
      </c>
      <c r="J336" s="209">
        <v>0</v>
      </c>
      <c r="K336" s="209">
        <v>0</v>
      </c>
      <c r="L336" s="209">
        <v>0</v>
      </c>
      <c r="M336" s="209">
        <v>0</v>
      </c>
      <c r="N336" s="209">
        <v>0</v>
      </c>
      <c r="O336" s="209">
        <v>0</v>
      </c>
      <c r="P336" s="209">
        <v>0</v>
      </c>
      <c r="Q336" s="209">
        <v>0</v>
      </c>
      <c r="R336" s="210">
        <v>853195.78000000096</v>
      </c>
      <c r="S336" s="161"/>
      <c r="T336" s="208">
        <v>47786.091323809698</v>
      </c>
      <c r="U336" s="209">
        <v>240451.22402381001</v>
      </c>
      <c r="V336" s="209">
        <v>285222.48402381002</v>
      </c>
      <c r="W336" s="209">
        <v>887697.85116666695</v>
      </c>
      <c r="X336" s="209">
        <v>870320.85116666695</v>
      </c>
      <c r="Y336" s="209">
        <v>1041260.85116667</v>
      </c>
      <c r="Z336" s="209">
        <v>1792868.45724886</v>
      </c>
      <c r="AA336" s="209">
        <v>1701012.3403441</v>
      </c>
      <c r="AB336" s="209">
        <v>1742223.9303441001</v>
      </c>
      <c r="AC336" s="209">
        <v>2033732.12462981</v>
      </c>
      <c r="AD336" s="209">
        <v>2118348.5546298102</v>
      </c>
      <c r="AE336" s="209">
        <v>2202610.8646298102</v>
      </c>
      <c r="AF336" s="210">
        <v>573459.79937142995</v>
      </c>
      <c r="AG336" s="161"/>
      <c r="AH336" s="208">
        <v>1871687.4566396901</v>
      </c>
      <c r="AI336" s="209">
        <v>1310256.0448006501</v>
      </c>
      <c r="AJ336" s="209">
        <v>1111860.6399999999</v>
      </c>
      <c r="AK336" s="209">
        <v>454094.69000000099</v>
      </c>
      <c r="AL336" s="209">
        <v>274164.19999999797</v>
      </c>
      <c r="AM336" s="209">
        <v>-214450.46999999799</v>
      </c>
      <c r="AN336" s="209">
        <v>-836618.37</v>
      </c>
      <c r="AO336" s="209">
        <v>-1144293.98</v>
      </c>
      <c r="AP336" s="209">
        <v>173402.18</v>
      </c>
      <c r="AQ336" s="209">
        <v>600171.41999999899</v>
      </c>
      <c r="AR336" s="209">
        <v>686972.88</v>
      </c>
      <c r="AS336" s="209">
        <v>1131167.24</v>
      </c>
      <c r="AT336" s="210">
        <v>5418413.9314403404</v>
      </c>
      <c r="AU336" s="161"/>
      <c r="AV336" s="161"/>
    </row>
    <row r="337" spans="1:48" ht="13.5" customHeight="1">
      <c r="A337" s="206"/>
      <c r="B337" s="206"/>
      <c r="D337" s="329" t="s">
        <v>724</v>
      </c>
      <c r="E337" s="161" t="s">
        <v>370</v>
      </c>
      <c r="F337" s="330">
        <v>6.6688067283341299E-2</v>
      </c>
      <c r="G337" s="331">
        <v>2.0781059547228801E-2</v>
      </c>
      <c r="H337" s="331">
        <v>1.67008964961496E-2</v>
      </c>
      <c r="I337" s="331"/>
      <c r="J337" s="331"/>
      <c r="K337" s="331"/>
      <c r="L337" s="331"/>
      <c r="M337" s="331"/>
      <c r="N337" s="331"/>
      <c r="O337" s="331"/>
      <c r="P337" s="331"/>
      <c r="Q337" s="331"/>
      <c r="R337" s="332">
        <v>3.5886075301657799E-2</v>
      </c>
      <c r="S337" s="161"/>
      <c r="T337" s="330">
        <v>5.7934302061822202E-3</v>
      </c>
      <c r="U337" s="331">
        <v>2.8506286921255002E-2</v>
      </c>
      <c r="V337" s="331">
        <v>3.3049063423377802E-2</v>
      </c>
      <c r="W337" s="331">
        <v>9.7583196958002993E-2</v>
      </c>
      <c r="X337" s="331">
        <v>9.57097955816925E-2</v>
      </c>
      <c r="Y337" s="331">
        <v>0.112158531447488</v>
      </c>
      <c r="Z337" s="331">
        <v>0.178682345481886</v>
      </c>
      <c r="AA337" s="331">
        <v>0.17133776152556399</v>
      </c>
      <c r="AB337" s="331">
        <v>0.17444183161316201</v>
      </c>
      <c r="AC337" s="331">
        <v>0.19591239173495301</v>
      </c>
      <c r="AD337" s="331">
        <v>0.20215517370050801</v>
      </c>
      <c r="AE337" s="331">
        <v>0.208406421922782</v>
      </c>
      <c r="AF337" s="332">
        <v>2.2654196878293099E-2</v>
      </c>
      <c r="AG337" s="161"/>
      <c r="AH337" s="330">
        <v>0.18154327790870101</v>
      </c>
      <c r="AI337" s="331">
        <v>0.138653442540008</v>
      </c>
      <c r="AJ337" s="331">
        <v>0.110184454255481</v>
      </c>
      <c r="AK337" s="331">
        <v>4.8848924195017497E-2</v>
      </c>
      <c r="AL337" s="331">
        <v>3.15747088415868E-2</v>
      </c>
      <c r="AM337" s="331">
        <v>-2.7468060297225899E-2</v>
      </c>
      <c r="AN337" s="331">
        <v>-0.10952966986775201</v>
      </c>
      <c r="AO337" s="331">
        <v>-0.13552192207654301</v>
      </c>
      <c r="AP337" s="331">
        <v>1.9688164513324401E-2</v>
      </c>
      <c r="AQ337" s="331">
        <v>6.8391376792748093E-2</v>
      </c>
      <c r="AR337" s="331">
        <v>7.9112630611630694E-2</v>
      </c>
      <c r="AS337" s="331">
        <v>0.13110168454097501</v>
      </c>
      <c r="AT337" s="332">
        <v>5.08230375392437E-2</v>
      </c>
      <c r="AU337" s="161"/>
      <c r="AV337" s="161"/>
    </row>
    <row r="338" spans="1:48" ht="13.5" hidden="1" customHeight="1">
      <c r="A338" s="257">
        <v>560110</v>
      </c>
      <c r="D338" s="345" t="s">
        <v>725</v>
      </c>
      <c r="E338" s="180" t="s">
        <v>370</v>
      </c>
      <c r="F338" s="202">
        <v>-2607.34</v>
      </c>
      <c r="G338" s="203">
        <v>-57.8</v>
      </c>
      <c r="H338" s="203">
        <v>-6482.01</v>
      </c>
      <c r="I338" s="203"/>
      <c r="J338" s="203"/>
      <c r="K338" s="203"/>
      <c r="L338" s="278"/>
      <c r="M338" s="203"/>
      <c r="N338" s="203"/>
      <c r="O338" s="203"/>
      <c r="P338" s="203"/>
      <c r="Q338" s="203"/>
      <c r="R338" s="205">
        <v>-9147.15</v>
      </c>
      <c r="S338" s="180"/>
      <c r="T338" s="220">
        <v>-10000</v>
      </c>
      <c r="U338" s="221">
        <v>-11937.166666666701</v>
      </c>
      <c r="V338" s="221">
        <v>-11937.166666666701</v>
      </c>
      <c r="W338" s="221">
        <v>-11937.166666666701</v>
      </c>
      <c r="X338" s="221">
        <v>-11937.166666666701</v>
      </c>
      <c r="Y338" s="221">
        <v>-11937.166666666701</v>
      </c>
      <c r="Z338" s="221">
        <v>-11937.166666666701</v>
      </c>
      <c r="AA338" s="221">
        <v>-11937.166666666701</v>
      </c>
      <c r="AB338" s="221">
        <v>-11937.166666666701</v>
      </c>
      <c r="AC338" s="221">
        <v>-11937.166666666701</v>
      </c>
      <c r="AD338" s="221">
        <v>-11937.166666666701</v>
      </c>
      <c r="AE338" s="221">
        <v>-11937.166666666701</v>
      </c>
      <c r="AF338" s="218">
        <v>-33874.333333333299</v>
      </c>
      <c r="AG338" s="180"/>
      <c r="AH338" s="202">
        <v>-26438.335833333302</v>
      </c>
      <c r="AI338" s="203">
        <v>-36939.815833333298</v>
      </c>
      <c r="AJ338" s="203">
        <v>-30557.81</v>
      </c>
      <c r="AK338" s="203">
        <v>-3768.46</v>
      </c>
      <c r="AL338" s="203">
        <v>-6107.09</v>
      </c>
      <c r="AM338" s="203">
        <v>-8811.0499999999993</v>
      </c>
      <c r="AN338" s="278">
        <v>-3485.24</v>
      </c>
      <c r="AO338" s="203">
        <v>-3271.9</v>
      </c>
      <c r="AP338" s="203">
        <v>-63.25</v>
      </c>
      <c r="AQ338" s="203">
        <v>-114292.09</v>
      </c>
      <c r="AR338" s="203">
        <v>-115282.26</v>
      </c>
      <c r="AS338" s="203">
        <v>-114777.48</v>
      </c>
      <c r="AT338" s="205">
        <v>-463794.78166666703</v>
      </c>
      <c r="AU338" s="180"/>
      <c r="AV338" s="180"/>
    </row>
    <row r="339" spans="1:48" ht="13.5" hidden="1" customHeight="1">
      <c r="A339" s="257">
        <v>560120</v>
      </c>
      <c r="D339" s="334" t="s">
        <v>726</v>
      </c>
      <c r="E339" s="180" t="s">
        <v>370</v>
      </c>
      <c r="F339" s="202"/>
      <c r="G339" s="203"/>
      <c r="H339" s="203"/>
      <c r="I339" s="203"/>
      <c r="J339" s="203"/>
      <c r="K339" s="203"/>
      <c r="L339" s="278"/>
      <c r="M339" s="203"/>
      <c r="N339" s="203"/>
      <c r="O339" s="203"/>
      <c r="P339" s="203"/>
      <c r="Q339" s="203"/>
      <c r="R339" s="205">
        <v>0</v>
      </c>
      <c r="S339" s="180"/>
      <c r="T339" s="220">
        <v>-500</v>
      </c>
      <c r="U339" s="221">
        <v>-500</v>
      </c>
      <c r="V339" s="221">
        <v>-500</v>
      </c>
      <c r="W339" s="221">
        <v>-500</v>
      </c>
      <c r="X339" s="221">
        <v>-500</v>
      </c>
      <c r="Y339" s="221">
        <v>-500</v>
      </c>
      <c r="Z339" s="221">
        <v>-500</v>
      </c>
      <c r="AA339" s="221">
        <v>-500</v>
      </c>
      <c r="AB339" s="221">
        <v>-500</v>
      </c>
      <c r="AC339" s="221">
        <v>-500</v>
      </c>
      <c r="AD339" s="221">
        <v>-500</v>
      </c>
      <c r="AE339" s="221">
        <v>-500</v>
      </c>
      <c r="AF339" s="218">
        <v>-1500</v>
      </c>
      <c r="AG339" s="180"/>
      <c r="AH339" s="202">
        <v>-1516.96</v>
      </c>
      <c r="AI339" s="203"/>
      <c r="AJ339" s="203"/>
      <c r="AK339" s="203"/>
      <c r="AL339" s="203"/>
      <c r="AM339" s="203"/>
      <c r="AN339" s="278"/>
      <c r="AO339" s="226">
        <v>-5835.86</v>
      </c>
      <c r="AP339" s="203"/>
      <c r="AQ339" s="203">
        <v>-24641.27</v>
      </c>
      <c r="AR339" s="203">
        <v>-1900</v>
      </c>
      <c r="AS339" s="203"/>
      <c r="AT339" s="205">
        <v>-33894.089999999997</v>
      </c>
      <c r="AU339" s="180"/>
      <c r="AV339" s="180"/>
    </row>
    <row r="340" spans="1:48" ht="13.5" hidden="1" customHeight="1">
      <c r="A340" s="257">
        <v>560130</v>
      </c>
      <c r="D340" s="334" t="s">
        <v>727</v>
      </c>
      <c r="E340" s="180" t="s">
        <v>370</v>
      </c>
      <c r="F340" s="202">
        <v>-4818</v>
      </c>
      <c r="G340" s="203"/>
      <c r="H340" s="203"/>
      <c r="I340" s="203"/>
      <c r="J340" s="203"/>
      <c r="K340" s="203"/>
      <c r="L340" s="278"/>
      <c r="M340" s="203"/>
      <c r="N340" s="203"/>
      <c r="O340" s="203"/>
      <c r="P340" s="203"/>
      <c r="Q340" s="203"/>
      <c r="R340" s="205">
        <v>-4818</v>
      </c>
      <c r="S340" s="180"/>
      <c r="T340" s="220"/>
      <c r="U340" s="221"/>
      <c r="V340" s="221"/>
      <c r="W340" s="221"/>
      <c r="X340" s="221"/>
      <c r="Y340" s="221"/>
      <c r="Z340" s="221"/>
      <c r="AA340" s="221"/>
      <c r="AB340" s="221"/>
      <c r="AC340" s="221"/>
      <c r="AD340" s="221"/>
      <c r="AE340" s="221"/>
      <c r="AF340" s="218">
        <v>0</v>
      </c>
      <c r="AG340" s="180"/>
      <c r="AH340" s="202"/>
      <c r="AI340" s="203"/>
      <c r="AJ340" s="203"/>
      <c r="AK340" s="203"/>
      <c r="AL340" s="203"/>
      <c r="AM340" s="203"/>
      <c r="AN340" s="278"/>
      <c r="AO340" s="203"/>
      <c r="AP340" s="203"/>
      <c r="AQ340" s="203"/>
      <c r="AR340" s="203"/>
      <c r="AS340" s="203">
        <v>-6317.08</v>
      </c>
      <c r="AT340" s="205">
        <v>-6317.08</v>
      </c>
      <c r="AU340" s="180"/>
      <c r="AV340" s="180"/>
    </row>
    <row r="341" spans="1:48" ht="13.5" hidden="1" customHeight="1">
      <c r="D341" s="334" t="s">
        <v>728</v>
      </c>
      <c r="E341" s="180"/>
      <c r="F341" s="202">
        <v>-20000</v>
      </c>
      <c r="G341" s="203">
        <v>-20000</v>
      </c>
      <c r="H341" s="203">
        <v>-20000</v>
      </c>
      <c r="I341" s="203"/>
      <c r="J341" s="203"/>
      <c r="K341" s="203"/>
      <c r="L341" s="203"/>
      <c r="M341" s="203"/>
      <c r="N341" s="203"/>
      <c r="O341" s="203"/>
      <c r="P341" s="203"/>
      <c r="Q341" s="203"/>
      <c r="R341" s="205">
        <v>-60000</v>
      </c>
      <c r="S341" s="180"/>
      <c r="T341" s="220">
        <v>-20000</v>
      </c>
      <c r="U341" s="221">
        <v>-20000</v>
      </c>
      <c r="V341" s="221">
        <v>-20000</v>
      </c>
      <c r="W341" s="221">
        <v>-20000</v>
      </c>
      <c r="X341" s="221">
        <v>-20000</v>
      </c>
      <c r="Y341" s="221">
        <v>-20000</v>
      </c>
      <c r="Z341" s="221">
        <v>-20000</v>
      </c>
      <c r="AA341" s="221">
        <v>-20000</v>
      </c>
      <c r="AB341" s="221">
        <v>-20000</v>
      </c>
      <c r="AC341" s="221">
        <v>-20000</v>
      </c>
      <c r="AD341" s="221">
        <v>-20000</v>
      </c>
      <c r="AE341" s="221">
        <v>-20000</v>
      </c>
      <c r="AF341" s="218">
        <v>-60000</v>
      </c>
      <c r="AG341" s="180"/>
      <c r="AH341" s="202">
        <v>-47500</v>
      </c>
      <c r="AI341" s="203">
        <v>-47500</v>
      </c>
      <c r="AJ341" s="203">
        <v>-47500</v>
      </c>
      <c r="AK341" s="203">
        <v>-47500</v>
      </c>
      <c r="AL341" s="203">
        <v>-47500</v>
      </c>
      <c r="AM341" s="203">
        <v>-47500</v>
      </c>
      <c r="AN341" s="203">
        <v>-47500</v>
      </c>
      <c r="AO341" s="203">
        <v>-47500</v>
      </c>
      <c r="AP341" s="203">
        <v>-47500</v>
      </c>
      <c r="AQ341" s="203">
        <v>-47500</v>
      </c>
      <c r="AR341" s="203">
        <v>-47500</v>
      </c>
      <c r="AS341" s="203">
        <v>-47500</v>
      </c>
      <c r="AT341" s="205">
        <v>-570000</v>
      </c>
      <c r="AU341" s="180"/>
      <c r="AV341" s="180"/>
    </row>
    <row r="342" spans="1:48" ht="13.5" hidden="1" customHeight="1">
      <c r="A342" s="257">
        <v>560140</v>
      </c>
      <c r="B342" s="257">
        <v>51008130</v>
      </c>
      <c r="D342" s="334" t="s">
        <v>729</v>
      </c>
      <c r="E342" s="180" t="s">
        <v>370</v>
      </c>
      <c r="F342" s="202">
        <v>-145000</v>
      </c>
      <c r="G342" s="203">
        <v>-145000</v>
      </c>
      <c r="H342" s="203">
        <v>-145000</v>
      </c>
      <c r="I342" s="203"/>
      <c r="J342" s="203"/>
      <c r="K342" s="203"/>
      <c r="L342" s="203"/>
      <c r="M342" s="203"/>
      <c r="N342" s="203"/>
      <c r="O342" s="203"/>
      <c r="P342" s="203"/>
      <c r="Q342" s="203"/>
      <c r="R342" s="205">
        <v>-435000</v>
      </c>
      <c r="S342" s="180"/>
      <c r="T342" s="220">
        <v>-141015.66666666701</v>
      </c>
      <c r="U342" s="221">
        <v>-141015.66666666701</v>
      </c>
      <c r="V342" s="221">
        <v>-141015.66666666701</v>
      </c>
      <c r="W342" s="221">
        <v>-141015.66666666701</v>
      </c>
      <c r="X342" s="221">
        <v>-141015.66666666701</v>
      </c>
      <c r="Y342" s="221">
        <v>-141015.66666666701</v>
      </c>
      <c r="Z342" s="221">
        <v>-141015.66666666701</v>
      </c>
      <c r="AA342" s="221">
        <v>-141015.66666666701</v>
      </c>
      <c r="AB342" s="221">
        <v>-141015.66666666701</v>
      </c>
      <c r="AC342" s="221">
        <v>-141015.66666666701</v>
      </c>
      <c r="AD342" s="221">
        <v>-141015.66666666701</v>
      </c>
      <c r="AE342" s="221">
        <v>-141015.66666666701</v>
      </c>
      <c r="AF342" s="218">
        <v>-423047</v>
      </c>
      <c r="AG342" s="180"/>
      <c r="AH342" s="202">
        <v>-242316.11499999999</v>
      </c>
      <c r="AI342" s="203">
        <v>-242316.11499999999</v>
      </c>
      <c r="AJ342" s="203">
        <v>-268754</v>
      </c>
      <c r="AK342" s="203">
        <v>-268754</v>
      </c>
      <c r="AL342" s="203">
        <v>-268754</v>
      </c>
      <c r="AM342" s="203">
        <v>-268754</v>
      </c>
      <c r="AN342" s="203">
        <v>-268754</v>
      </c>
      <c r="AO342" s="203">
        <v>-268754</v>
      </c>
      <c r="AP342" s="203">
        <v>-268754</v>
      </c>
      <c r="AQ342" s="203">
        <v>-327992</v>
      </c>
      <c r="AR342" s="203">
        <v>-327992</v>
      </c>
      <c r="AS342" s="203">
        <v>-327992</v>
      </c>
      <c r="AT342" s="205">
        <v>-3349886.23</v>
      </c>
      <c r="AU342" s="180"/>
      <c r="AV342" s="180"/>
    </row>
    <row r="343" spans="1:48" ht="13.5" customHeight="1">
      <c r="D343" s="275" t="s">
        <v>730</v>
      </c>
      <c r="E343" s="276" t="s">
        <v>370</v>
      </c>
      <c r="F343" s="277">
        <v>-172425.34</v>
      </c>
      <c r="G343" s="278">
        <v>-165057.79999999999</v>
      </c>
      <c r="H343" s="278">
        <v>-171482.01</v>
      </c>
      <c r="I343" s="278"/>
      <c r="J343" s="278"/>
      <c r="K343" s="278"/>
      <c r="L343" s="278"/>
      <c r="M343" s="278"/>
      <c r="N343" s="278"/>
      <c r="O343" s="278"/>
      <c r="P343" s="278"/>
      <c r="Q343" s="278"/>
      <c r="R343" s="279">
        <v>-508965.15</v>
      </c>
      <c r="S343" s="276"/>
      <c r="T343" s="277">
        <v>-171515.66666666701</v>
      </c>
      <c r="U343" s="278">
        <v>-173452.83333333299</v>
      </c>
      <c r="V343" s="278">
        <v>-173452.83333333299</v>
      </c>
      <c r="W343" s="278">
        <v>-173452.83333333299</v>
      </c>
      <c r="X343" s="278">
        <v>-173452.83333333299</v>
      </c>
      <c r="Y343" s="278">
        <v>-173452.83333333299</v>
      </c>
      <c r="Z343" s="278">
        <v>-173452.83333333299</v>
      </c>
      <c r="AA343" s="278">
        <v>-173452.83333333299</v>
      </c>
      <c r="AB343" s="278">
        <v>-173452.83333333299</v>
      </c>
      <c r="AC343" s="278">
        <v>-173452.83333333299</v>
      </c>
      <c r="AD343" s="278">
        <v>-173452.83333333299</v>
      </c>
      <c r="AE343" s="278">
        <v>-173452.83333333299</v>
      </c>
      <c r="AF343" s="218">
        <v>-518421.33333333302</v>
      </c>
      <c r="AG343" s="276"/>
      <c r="AH343" s="277">
        <v>-317771.41083333298</v>
      </c>
      <c r="AI343" s="278">
        <v>-326755.930833333</v>
      </c>
      <c r="AJ343" s="278">
        <v>-346811.81</v>
      </c>
      <c r="AK343" s="278">
        <v>-320022.46000000002</v>
      </c>
      <c r="AL343" s="278">
        <v>-322361.09000000003</v>
      </c>
      <c r="AM343" s="278">
        <v>-325065.05</v>
      </c>
      <c r="AN343" s="278">
        <v>-319739.24</v>
      </c>
      <c r="AO343" s="278">
        <v>-325361.76</v>
      </c>
      <c r="AP343" s="278">
        <v>-316317.25</v>
      </c>
      <c r="AQ343" s="278">
        <v>-514425.36</v>
      </c>
      <c r="AR343" s="278">
        <v>-492674.26</v>
      </c>
      <c r="AS343" s="278">
        <v>-496586.56</v>
      </c>
      <c r="AT343" s="279">
        <v>-4423892.1816666704</v>
      </c>
      <c r="AU343" s="276"/>
      <c r="AV343" s="276"/>
    </row>
    <row r="344" spans="1:48" ht="13.5" customHeight="1">
      <c r="D344" s="275" t="s">
        <v>731</v>
      </c>
      <c r="E344" s="276" t="s">
        <v>370</v>
      </c>
      <c r="F344" s="277">
        <v>-67150</v>
      </c>
      <c r="G344" s="278">
        <v>-67150</v>
      </c>
      <c r="H344" s="278">
        <v>-67150</v>
      </c>
      <c r="I344" s="278"/>
      <c r="J344" s="278"/>
      <c r="K344" s="278"/>
      <c r="L344" s="278"/>
      <c r="M344" s="278"/>
      <c r="N344" s="278"/>
      <c r="O344" s="278"/>
      <c r="P344" s="278"/>
      <c r="Q344" s="278"/>
      <c r="R344" s="279">
        <v>-201450</v>
      </c>
      <c r="S344" s="276"/>
      <c r="T344" s="277">
        <v>-91666.666666666701</v>
      </c>
      <c r="U344" s="221">
        <v>-91666.666666666701</v>
      </c>
      <c r="V344" s="221">
        <v>-91666.666666666701</v>
      </c>
      <c r="W344" s="221">
        <v>-91666.666666666701</v>
      </c>
      <c r="X344" s="221">
        <v>-91666.666666666701</v>
      </c>
      <c r="Y344" s="221">
        <v>-91666.666666666701</v>
      </c>
      <c r="Z344" s="221">
        <v>-91666.666666666701</v>
      </c>
      <c r="AA344" s="221">
        <v>-91666.666666666701</v>
      </c>
      <c r="AB344" s="221">
        <v>-91666.666666666701</v>
      </c>
      <c r="AC344" s="221">
        <v>-91666.666666666701</v>
      </c>
      <c r="AD344" s="221">
        <v>-91666.666666666701</v>
      </c>
      <c r="AE344" s="221">
        <v>-91666.666666666701</v>
      </c>
      <c r="AF344" s="218">
        <v>-275000</v>
      </c>
      <c r="AG344" s="276"/>
      <c r="AH344" s="277">
        <v>-111917</v>
      </c>
      <c r="AI344" s="278">
        <v>-111917</v>
      </c>
      <c r="AJ344" s="278">
        <v>-111917</v>
      </c>
      <c r="AK344" s="278">
        <v>-67150</v>
      </c>
      <c r="AL344" s="278">
        <v>-67150</v>
      </c>
      <c r="AM344" s="278">
        <v>-67150</v>
      </c>
      <c r="AN344" s="278">
        <v>-67150</v>
      </c>
      <c r="AO344" s="278">
        <v>-67150</v>
      </c>
      <c r="AP344" s="278">
        <v>-103034.81</v>
      </c>
      <c r="AQ344" s="278">
        <v>-77589.66</v>
      </c>
      <c r="AR344" s="278">
        <v>-78713.42</v>
      </c>
      <c r="AS344" s="278">
        <v>-67150</v>
      </c>
      <c r="AT344" s="279">
        <v>-997988.89</v>
      </c>
      <c r="AU344" s="276"/>
      <c r="AV344" s="276"/>
    </row>
    <row r="345" spans="1:48" ht="13.5" customHeight="1">
      <c r="A345" s="206"/>
      <c r="B345" s="206"/>
      <c r="D345" s="207" t="s">
        <v>732</v>
      </c>
      <c r="E345" s="161" t="s">
        <v>370</v>
      </c>
      <c r="F345" s="208">
        <v>-565189.01999999897</v>
      </c>
      <c r="G345" s="209">
        <v>-1007457.29</v>
      </c>
      <c r="H345" s="209">
        <v>-1040926.68</v>
      </c>
      <c r="I345" s="209">
        <v>0</v>
      </c>
      <c r="J345" s="209">
        <v>0</v>
      </c>
      <c r="K345" s="209">
        <v>0</v>
      </c>
      <c r="L345" s="209">
        <v>0</v>
      </c>
      <c r="M345" s="209">
        <v>0</v>
      </c>
      <c r="N345" s="209">
        <v>0</v>
      </c>
      <c r="O345" s="209">
        <v>0</v>
      </c>
      <c r="P345" s="209">
        <v>0</v>
      </c>
      <c r="Q345" s="209">
        <v>0</v>
      </c>
      <c r="R345" s="210">
        <v>-2613572.9900000002</v>
      </c>
      <c r="S345" s="161"/>
      <c r="T345" s="208">
        <v>-1220521.93546191</v>
      </c>
      <c r="U345" s="209">
        <v>-1029793.96942857</v>
      </c>
      <c r="V345" s="209">
        <v>-985022.70942857105</v>
      </c>
      <c r="W345" s="209">
        <v>-437980.04069841199</v>
      </c>
      <c r="X345" s="209">
        <v>-455357.04069841199</v>
      </c>
      <c r="Y345" s="209">
        <v>-284417.04069841199</v>
      </c>
      <c r="Z345" s="209">
        <v>467190.565383779</v>
      </c>
      <c r="AA345" s="209">
        <v>375334.448479018</v>
      </c>
      <c r="AB345" s="209">
        <v>416546.03847901803</v>
      </c>
      <c r="AC345" s="209">
        <v>708054.23276473302</v>
      </c>
      <c r="AD345" s="209">
        <v>792670.66276473203</v>
      </c>
      <c r="AE345" s="209">
        <v>876932.97276473301</v>
      </c>
      <c r="AF345" s="210">
        <v>-3235338.6143190502</v>
      </c>
      <c r="AG345" s="161"/>
      <c r="AH345" s="208">
        <v>479759.66580635402</v>
      </c>
      <c r="AI345" s="209">
        <v>-90799.916032679001</v>
      </c>
      <c r="AJ345" s="209">
        <v>-309740.73</v>
      </c>
      <c r="AK345" s="209">
        <v>-889519.31999999902</v>
      </c>
      <c r="AL345" s="209">
        <v>-1072031.68</v>
      </c>
      <c r="AM345" s="209">
        <v>-1555870.65</v>
      </c>
      <c r="AN345" s="209">
        <v>-2245527.48</v>
      </c>
      <c r="AO345" s="209">
        <v>-2522667.5</v>
      </c>
      <c r="AP345" s="209">
        <v>-1202432.18</v>
      </c>
      <c r="AQ345" s="209">
        <v>-946454.64000000095</v>
      </c>
      <c r="AR345" s="209">
        <v>-827968.73</v>
      </c>
      <c r="AS345" s="209">
        <v>-371725.270000002</v>
      </c>
      <c r="AT345" s="210">
        <v>-11554978.4302263</v>
      </c>
      <c r="AU345" s="161">
        <v>0</v>
      </c>
      <c r="AV345" s="161"/>
    </row>
    <row r="346" spans="1:48" ht="13.5" customHeight="1">
      <c r="A346" s="206"/>
      <c r="B346" s="206"/>
      <c r="D346" s="329" t="s">
        <v>733</v>
      </c>
      <c r="E346" s="161" t="s">
        <v>370</v>
      </c>
      <c r="F346" s="330">
        <v>-6.6517901957545394E-2</v>
      </c>
      <c r="G346" s="331">
        <v>-0.13091396674054601</v>
      </c>
      <c r="H346" s="331">
        <v>-0.137275478597291</v>
      </c>
      <c r="I346" s="331"/>
      <c r="J346" s="331"/>
      <c r="K346" s="331"/>
      <c r="L346" s="331"/>
      <c r="M346" s="331"/>
      <c r="N346" s="331"/>
      <c r="O346" s="331"/>
      <c r="P346" s="331"/>
      <c r="Q346" s="331"/>
      <c r="R346" s="332">
        <v>-0.109928904155526</v>
      </c>
      <c r="S346" s="161"/>
      <c r="T346" s="330">
        <v>-0.147972107622241</v>
      </c>
      <c r="U346" s="331">
        <v>-0.12208547692567399</v>
      </c>
      <c r="V346" s="331">
        <v>-0.11413573550763501</v>
      </c>
      <c r="W346" s="331">
        <v>-4.8146441403430697E-2</v>
      </c>
      <c r="X346" s="331">
        <v>-5.0075933747315698E-2</v>
      </c>
      <c r="Y346" s="331">
        <v>-3.0635740859394401E-2</v>
      </c>
      <c r="Z346" s="331">
        <v>4.6561534211985403E-2</v>
      </c>
      <c r="AA346" s="331">
        <v>3.7806289055385599E-2</v>
      </c>
      <c r="AB346" s="331">
        <v>4.1707069130393098E-2</v>
      </c>
      <c r="AC346" s="331">
        <v>6.8207900410800396E-2</v>
      </c>
      <c r="AD346" s="331">
        <v>7.5644999576806801E-2</v>
      </c>
      <c r="AE346" s="331">
        <v>8.2973559267684197E-2</v>
      </c>
      <c r="AF346" s="332">
        <v>-0.127810176087435</v>
      </c>
      <c r="AG346" s="161"/>
      <c r="AH346" s="330">
        <v>4.6534020426272103E-2</v>
      </c>
      <c r="AI346" s="331">
        <v>-9.6085959612497301E-3</v>
      </c>
      <c r="AJ346" s="331">
        <v>-3.0695045824937602E-2</v>
      </c>
      <c r="AK346" s="331">
        <v>-9.5689429516745403E-2</v>
      </c>
      <c r="AL346" s="331">
        <v>-0.123462830540813</v>
      </c>
      <c r="AM346" s="331">
        <v>-0.19928493898327301</v>
      </c>
      <c r="AN346" s="331">
        <v>-0.29398336491626997</v>
      </c>
      <c r="AO346" s="331">
        <v>-0.29876653581628398</v>
      </c>
      <c r="AP346" s="331">
        <v>-0.13652471137303601</v>
      </c>
      <c r="AQ346" s="331">
        <v>-0.10785141335368</v>
      </c>
      <c r="AR346" s="331">
        <v>-9.5349883818515599E-2</v>
      </c>
      <c r="AS346" s="331">
        <v>-4.3082762088697803E-2</v>
      </c>
      <c r="AT346" s="332">
        <v>-0.10838210405391401</v>
      </c>
      <c r="AU346" s="161"/>
      <c r="AV346" s="161"/>
    </row>
    <row r="347" spans="1:48" ht="13.5" hidden="1" customHeight="1">
      <c r="D347" s="320" t="s">
        <v>734</v>
      </c>
      <c r="E347" s="276" t="s">
        <v>370</v>
      </c>
      <c r="F347" s="346"/>
      <c r="G347" s="347"/>
      <c r="H347" s="348"/>
      <c r="I347" s="348"/>
      <c r="J347" s="348"/>
      <c r="K347" s="348"/>
      <c r="L347" s="348"/>
      <c r="M347" s="348"/>
      <c r="N347" s="348"/>
      <c r="O347" s="348"/>
      <c r="P347" s="348"/>
      <c r="Q347" s="348"/>
      <c r="R347" s="349">
        <v>0</v>
      </c>
      <c r="S347" s="276"/>
      <c r="T347" s="220"/>
      <c r="U347" s="221"/>
      <c r="V347" s="221"/>
      <c r="W347" s="221"/>
      <c r="X347" s="221"/>
      <c r="Y347" s="221"/>
      <c r="Z347" s="221"/>
      <c r="AA347" s="221"/>
      <c r="AB347" s="221"/>
      <c r="AC347" s="221"/>
      <c r="AD347" s="221"/>
      <c r="AE347" s="221"/>
      <c r="AF347" s="218">
        <v>0</v>
      </c>
      <c r="AG347" s="276"/>
      <c r="AH347" s="346"/>
      <c r="AI347" s="347"/>
      <c r="AJ347" s="348"/>
      <c r="AK347" s="348"/>
      <c r="AL347" s="348"/>
      <c r="AM347" s="348"/>
      <c r="AN347" s="348"/>
      <c r="AO347" s="348"/>
      <c r="AP347" s="348"/>
      <c r="AQ347" s="348"/>
      <c r="AR347" s="348"/>
      <c r="AS347" s="348"/>
      <c r="AT347" s="349">
        <v>0</v>
      </c>
      <c r="AU347" s="276"/>
      <c r="AV347" s="276"/>
    </row>
    <row r="348" spans="1:48" ht="13.5" hidden="1" customHeight="1">
      <c r="D348" s="285" t="s">
        <v>735</v>
      </c>
      <c r="E348" s="276"/>
      <c r="F348" s="286"/>
      <c r="G348" s="287"/>
      <c r="H348" s="350"/>
      <c r="I348" s="350"/>
      <c r="J348" s="350"/>
      <c r="K348" s="350"/>
      <c r="L348" s="350"/>
      <c r="M348" s="350"/>
      <c r="N348" s="350"/>
      <c r="O348" s="350"/>
      <c r="P348" s="350"/>
      <c r="Q348" s="350"/>
      <c r="R348" s="279">
        <v>0</v>
      </c>
      <c r="S348" s="276"/>
      <c r="T348" s="220"/>
      <c r="U348" s="221"/>
      <c r="V348" s="221"/>
      <c r="W348" s="221"/>
      <c r="X348" s="221"/>
      <c r="Y348" s="221"/>
      <c r="Z348" s="221"/>
      <c r="AA348" s="221"/>
      <c r="AB348" s="221"/>
      <c r="AC348" s="221"/>
      <c r="AD348" s="221"/>
      <c r="AE348" s="221"/>
      <c r="AF348" s="218"/>
      <c r="AG348" s="276"/>
      <c r="AH348" s="286"/>
      <c r="AI348" s="287"/>
      <c r="AJ348" s="350"/>
      <c r="AK348" s="350"/>
      <c r="AL348" s="350"/>
      <c r="AM348" s="350"/>
      <c r="AN348" s="350"/>
      <c r="AO348" s="350"/>
      <c r="AP348" s="350"/>
      <c r="AQ348" s="350"/>
      <c r="AR348" s="350"/>
      <c r="AS348" s="350"/>
      <c r="AT348" s="279">
        <v>0</v>
      </c>
      <c r="AU348" s="276"/>
      <c r="AV348" s="276"/>
    </row>
    <row r="349" spans="1:48" ht="13.5" hidden="1" customHeight="1">
      <c r="D349" s="351" t="s">
        <v>736</v>
      </c>
      <c r="E349" s="276"/>
      <c r="F349" s="341"/>
      <c r="G349" s="342"/>
      <c r="H349" s="343"/>
      <c r="I349" s="343"/>
      <c r="J349" s="343"/>
      <c r="K349" s="343"/>
      <c r="L349" s="343"/>
      <c r="M349" s="343"/>
      <c r="N349" s="343"/>
      <c r="O349" s="343"/>
      <c r="P349" s="343"/>
      <c r="Q349" s="343"/>
      <c r="R349" s="292">
        <v>0</v>
      </c>
      <c r="S349" s="276"/>
      <c r="T349" s="352"/>
      <c r="U349" s="353"/>
      <c r="V349" s="353"/>
      <c r="W349" s="353"/>
      <c r="X349" s="353"/>
      <c r="Y349" s="353"/>
      <c r="Z349" s="353"/>
      <c r="AA349" s="353"/>
      <c r="AB349" s="353"/>
      <c r="AC349" s="353"/>
      <c r="AD349" s="353"/>
      <c r="AE349" s="353"/>
      <c r="AF349" s="354"/>
      <c r="AG349" s="276"/>
      <c r="AH349" s="341"/>
      <c r="AI349" s="342"/>
      <c r="AJ349" s="343"/>
      <c r="AK349" s="343"/>
      <c r="AL349" s="343"/>
      <c r="AM349" s="343"/>
      <c r="AN349" s="343"/>
      <c r="AO349" s="343"/>
      <c r="AP349" s="343"/>
      <c r="AQ349" s="343"/>
      <c r="AR349" s="343"/>
      <c r="AS349" s="343"/>
      <c r="AT349" s="292">
        <v>0</v>
      </c>
      <c r="AU349" s="276"/>
      <c r="AV349" s="276"/>
    </row>
    <row r="350" spans="1:48" ht="13.5" hidden="1" customHeight="1">
      <c r="D350" s="355" t="s">
        <v>737</v>
      </c>
      <c r="E350" s="276" t="s">
        <v>370</v>
      </c>
      <c r="F350" s="356">
        <v>124999.58333333299</v>
      </c>
      <c r="G350" s="357">
        <v>124999.58333333299</v>
      </c>
      <c r="H350" s="357">
        <v>124999.58333333299</v>
      </c>
      <c r="I350" s="357"/>
      <c r="J350" s="357"/>
      <c r="K350" s="357"/>
      <c r="L350" s="357"/>
      <c r="M350" s="357"/>
      <c r="N350" s="357"/>
      <c r="O350" s="357"/>
      <c r="P350" s="358"/>
      <c r="Q350" s="358"/>
      <c r="R350" s="359">
        <v>374998.74999999901</v>
      </c>
      <c r="S350" s="276"/>
      <c r="T350" s="360">
        <v>123509.58333333299</v>
      </c>
      <c r="U350" s="361">
        <v>123509.58333333299</v>
      </c>
      <c r="V350" s="361">
        <v>123509.58333333299</v>
      </c>
      <c r="W350" s="361">
        <v>123509.58333333299</v>
      </c>
      <c r="X350" s="361">
        <v>123509.58333333299</v>
      </c>
      <c r="Y350" s="361">
        <v>123509.58333333299</v>
      </c>
      <c r="Z350" s="361">
        <v>123509.58333333299</v>
      </c>
      <c r="AA350" s="361">
        <v>123509.58333333299</v>
      </c>
      <c r="AB350" s="361">
        <v>123509.58333333299</v>
      </c>
      <c r="AC350" s="361">
        <v>123509.58333333299</v>
      </c>
      <c r="AD350" s="361">
        <v>123509.58333333299</v>
      </c>
      <c r="AE350" s="361">
        <v>123509.58333333299</v>
      </c>
      <c r="AF350" s="184">
        <v>370528.75</v>
      </c>
      <c r="AG350" s="276"/>
      <c r="AH350" s="356">
        <v>219750</v>
      </c>
      <c r="AI350" s="357">
        <v>219750</v>
      </c>
      <c r="AJ350" s="357">
        <v>219750</v>
      </c>
      <c r="AK350" s="357">
        <v>219750</v>
      </c>
      <c r="AL350" s="357">
        <v>219750</v>
      </c>
      <c r="AM350" s="357">
        <v>219750</v>
      </c>
      <c r="AN350" s="357">
        <v>219750</v>
      </c>
      <c r="AO350" s="357">
        <v>219750</v>
      </c>
      <c r="AP350" s="357">
        <v>-229778.47528353799</v>
      </c>
      <c r="AQ350" s="357">
        <v>-150000</v>
      </c>
      <c r="AR350" s="358">
        <v>-150000</v>
      </c>
      <c r="AS350" s="358">
        <v>-150000</v>
      </c>
      <c r="AT350" s="359">
        <v>1078221.5247164599</v>
      </c>
      <c r="AU350" s="276"/>
      <c r="AV350" s="276"/>
    </row>
    <row r="351" spans="1:48" ht="13.5" hidden="1" customHeight="1">
      <c r="D351" s="362" t="s">
        <v>738</v>
      </c>
      <c r="E351" s="276"/>
      <c r="F351" s="363">
        <v>25000</v>
      </c>
      <c r="G351" s="335">
        <v>25000</v>
      </c>
      <c r="H351" s="335">
        <v>25000</v>
      </c>
      <c r="I351" s="335"/>
      <c r="J351" s="335"/>
      <c r="K351" s="335"/>
      <c r="L351" s="335"/>
      <c r="M351" s="335"/>
      <c r="N351" s="335"/>
      <c r="O351" s="335"/>
      <c r="P351" s="364"/>
      <c r="Q351" s="364"/>
      <c r="R351" s="365">
        <v>75000</v>
      </c>
      <c r="S351" s="276"/>
      <c r="T351" s="366">
        <v>25000</v>
      </c>
      <c r="U351" s="367">
        <v>25000</v>
      </c>
      <c r="V351" s="367">
        <v>25000</v>
      </c>
      <c r="W351" s="367">
        <v>25000</v>
      </c>
      <c r="X351" s="367">
        <v>25000</v>
      </c>
      <c r="Y351" s="367">
        <v>25000</v>
      </c>
      <c r="Z351" s="367">
        <v>25000</v>
      </c>
      <c r="AA351" s="367">
        <v>25000</v>
      </c>
      <c r="AB351" s="367">
        <v>25000</v>
      </c>
      <c r="AC351" s="367">
        <v>25000</v>
      </c>
      <c r="AD351" s="367">
        <v>25000</v>
      </c>
      <c r="AE351" s="367">
        <v>25000</v>
      </c>
      <c r="AF351" s="368">
        <v>75000</v>
      </c>
      <c r="AG351" s="276"/>
      <c r="AH351" s="363">
        <v>-75000</v>
      </c>
      <c r="AI351" s="335">
        <v>-75000</v>
      </c>
      <c r="AJ351" s="335">
        <v>-75000</v>
      </c>
      <c r="AK351" s="335">
        <v>-75000</v>
      </c>
      <c r="AL351" s="335">
        <v>-75000</v>
      </c>
      <c r="AM351" s="335">
        <v>-75000</v>
      </c>
      <c r="AN351" s="335">
        <v>-75000</v>
      </c>
      <c r="AO351" s="335">
        <v>-75000</v>
      </c>
      <c r="AP351" s="335">
        <v>0</v>
      </c>
      <c r="AQ351" s="335"/>
      <c r="AR351" s="364"/>
      <c r="AS351" s="364"/>
      <c r="AT351" s="365">
        <v>-600000</v>
      </c>
      <c r="AU351" s="276"/>
      <c r="AV351" s="276"/>
    </row>
    <row r="352" spans="1:48" ht="14.25" customHeight="1">
      <c r="D352" s="369" t="s">
        <v>739</v>
      </c>
      <c r="E352" s="276"/>
      <c r="F352" s="370">
        <v>149999.58333333299</v>
      </c>
      <c r="G352" s="371">
        <v>149999.58333333299</v>
      </c>
      <c r="H352" s="372">
        <v>149999.58333333299</v>
      </c>
      <c r="I352" s="372">
        <v>0</v>
      </c>
      <c r="J352" s="372">
        <v>0</v>
      </c>
      <c r="K352" s="372">
        <v>0</v>
      </c>
      <c r="L352" s="372">
        <v>0</v>
      </c>
      <c r="M352" s="372">
        <v>0</v>
      </c>
      <c r="N352" s="372">
        <v>0</v>
      </c>
      <c r="O352" s="372">
        <v>0</v>
      </c>
      <c r="P352" s="372">
        <v>0</v>
      </c>
      <c r="Q352" s="372">
        <v>0</v>
      </c>
      <c r="R352" s="373">
        <v>449998.74999999901</v>
      </c>
      <c r="S352" s="276"/>
      <c r="T352" s="374">
        <v>148509.58333333299</v>
      </c>
      <c r="U352" s="375">
        <v>148509.58333333299</v>
      </c>
      <c r="V352" s="375">
        <v>148509.58333333299</v>
      </c>
      <c r="W352" s="375">
        <v>148509.58333333299</v>
      </c>
      <c r="X352" s="375">
        <v>148509.58333333299</v>
      </c>
      <c r="Y352" s="375">
        <v>148509.58333333299</v>
      </c>
      <c r="Z352" s="375">
        <v>148509.58333333299</v>
      </c>
      <c r="AA352" s="375">
        <v>148509.58333333299</v>
      </c>
      <c r="AB352" s="375">
        <v>148509.58333333299</v>
      </c>
      <c r="AC352" s="375">
        <v>148509.58333333299</v>
      </c>
      <c r="AD352" s="375">
        <v>148509.58333333299</v>
      </c>
      <c r="AE352" s="375">
        <v>148509.58333333299</v>
      </c>
      <c r="AF352" s="376">
        <v>445528.75</v>
      </c>
      <c r="AG352" s="276"/>
      <c r="AH352" s="370">
        <v>144750</v>
      </c>
      <c r="AI352" s="371">
        <v>144750</v>
      </c>
      <c r="AJ352" s="372">
        <v>144750</v>
      </c>
      <c r="AK352" s="372">
        <v>144750</v>
      </c>
      <c r="AL352" s="372">
        <v>144750</v>
      </c>
      <c r="AM352" s="372">
        <v>144750</v>
      </c>
      <c r="AN352" s="372">
        <v>144750</v>
      </c>
      <c r="AO352" s="372">
        <v>144750</v>
      </c>
      <c r="AP352" s="372">
        <v>-229778.47528353799</v>
      </c>
      <c r="AQ352" s="372">
        <v>-150000</v>
      </c>
      <c r="AR352" s="372">
        <v>-150000</v>
      </c>
      <c r="AS352" s="372">
        <v>-150000</v>
      </c>
      <c r="AT352" s="373">
        <v>478221.524716463</v>
      </c>
      <c r="AU352" s="276"/>
      <c r="AV352" s="276"/>
    </row>
    <row r="353" spans="1:48" ht="13.5" customHeight="1">
      <c r="A353" s="206"/>
      <c r="B353" s="206"/>
      <c r="D353" s="207" t="s">
        <v>740</v>
      </c>
      <c r="E353" s="161" t="s">
        <v>370</v>
      </c>
      <c r="F353" s="208">
        <v>-415189.43666666601</v>
      </c>
      <c r="G353" s="209">
        <v>-857457.70666666899</v>
      </c>
      <c r="H353" s="209">
        <v>-890927.09666666598</v>
      </c>
      <c r="I353" s="209">
        <v>0</v>
      </c>
      <c r="J353" s="209">
        <v>0</v>
      </c>
      <c r="K353" s="209">
        <v>0</v>
      </c>
      <c r="L353" s="209">
        <v>0</v>
      </c>
      <c r="M353" s="209">
        <v>0</v>
      </c>
      <c r="N353" s="209">
        <v>0</v>
      </c>
      <c r="O353" s="209">
        <v>0</v>
      </c>
      <c r="P353" s="209">
        <v>0</v>
      </c>
      <c r="Q353" s="209">
        <v>0</v>
      </c>
      <c r="R353" s="210">
        <v>-2163574.2400000002</v>
      </c>
      <c r="S353" s="161"/>
      <c r="T353" s="208">
        <v>-1072012.35212857</v>
      </c>
      <c r="U353" s="209">
        <v>-881284.38609523803</v>
      </c>
      <c r="V353" s="209">
        <v>-836513.12609523698</v>
      </c>
      <c r="W353" s="209">
        <v>-289470.45736507903</v>
      </c>
      <c r="X353" s="209">
        <v>-306847.45736507903</v>
      </c>
      <c r="Y353" s="209">
        <v>-135907.457365079</v>
      </c>
      <c r="Z353" s="209">
        <v>615700.14871711296</v>
      </c>
      <c r="AA353" s="209">
        <v>523844.03181235102</v>
      </c>
      <c r="AB353" s="209">
        <v>565055.62181235105</v>
      </c>
      <c r="AC353" s="209">
        <v>856563.81609806605</v>
      </c>
      <c r="AD353" s="209">
        <v>941180.24609806598</v>
      </c>
      <c r="AE353" s="209">
        <v>1025442.55609807</v>
      </c>
      <c r="AF353" s="210">
        <v>-2789809.8643190502</v>
      </c>
      <c r="AG353" s="161"/>
      <c r="AH353" s="208">
        <v>624509.66580635402</v>
      </c>
      <c r="AI353" s="209">
        <v>53950.083967320999</v>
      </c>
      <c r="AJ353" s="209">
        <v>-164990.73000000001</v>
      </c>
      <c r="AK353" s="209">
        <v>-744769.31999999902</v>
      </c>
      <c r="AL353" s="209">
        <v>-927281.68000000203</v>
      </c>
      <c r="AM353" s="209">
        <v>-1411120.65</v>
      </c>
      <c r="AN353" s="209">
        <v>-2100777.48</v>
      </c>
      <c r="AO353" s="209">
        <v>-2377917.5</v>
      </c>
      <c r="AP353" s="209">
        <v>-1432210.65528354</v>
      </c>
      <c r="AQ353" s="209">
        <v>-1096454.6399999999</v>
      </c>
      <c r="AR353" s="209">
        <v>-977968.73</v>
      </c>
      <c r="AS353" s="209">
        <v>-521725.270000002</v>
      </c>
      <c r="AT353" s="210">
        <v>-11076756.9055099</v>
      </c>
      <c r="AU353" s="161"/>
      <c r="AV353" s="161"/>
    </row>
    <row r="354" spans="1:48" ht="13.5" customHeight="1">
      <c r="A354" s="206"/>
      <c r="B354" s="206"/>
      <c r="D354" s="329" t="s">
        <v>741</v>
      </c>
      <c r="E354" s="161" t="s">
        <v>370</v>
      </c>
      <c r="F354" s="330">
        <v>-4.8864237033482798E-2</v>
      </c>
      <c r="G354" s="331">
        <v>-0.11142228142692299</v>
      </c>
      <c r="H354" s="331">
        <v>-0.11749381194668899</v>
      </c>
      <c r="I354" s="331"/>
      <c r="J354" s="331"/>
      <c r="K354" s="331"/>
      <c r="L354" s="331"/>
      <c r="M354" s="331"/>
      <c r="N354" s="331"/>
      <c r="O354" s="331"/>
      <c r="P354" s="331"/>
      <c r="Q354" s="331"/>
      <c r="R354" s="332">
        <v>-9.1001608209275303E-2</v>
      </c>
      <c r="S354" s="161"/>
      <c r="T354" s="330">
        <v>-0.129967289020093</v>
      </c>
      <c r="U354" s="331">
        <v>-0.104479175230837</v>
      </c>
      <c r="V354" s="331">
        <v>-9.6927756075855798E-2</v>
      </c>
      <c r="W354" s="331">
        <v>-3.1821021778361998E-2</v>
      </c>
      <c r="X354" s="331">
        <v>-3.3744230509708602E-2</v>
      </c>
      <c r="Y354" s="331">
        <v>-1.4639156762448501E-2</v>
      </c>
      <c r="Z354" s="331">
        <v>6.1362419669726602E-2</v>
      </c>
      <c r="AA354" s="331">
        <v>5.2765204384759498E-2</v>
      </c>
      <c r="AB354" s="331">
        <v>5.6576732712420502E-2</v>
      </c>
      <c r="AC354" s="331">
        <v>8.2514045902646105E-2</v>
      </c>
      <c r="AD354" s="331">
        <v>8.9817351218053301E-2</v>
      </c>
      <c r="AE354" s="331">
        <v>9.7025224671116697E-2</v>
      </c>
      <c r="AF354" s="332">
        <v>-0.110209821139272</v>
      </c>
      <c r="AG354" s="161"/>
      <c r="AH354" s="330">
        <v>6.0573965708837101E-2</v>
      </c>
      <c r="AI354" s="331">
        <v>5.7090863248256398E-3</v>
      </c>
      <c r="AJ354" s="331">
        <v>-1.63504425718888E-2</v>
      </c>
      <c r="AK354" s="331">
        <v>-8.0118047747826798E-2</v>
      </c>
      <c r="AL354" s="331">
        <v>-0.106792385950236</v>
      </c>
      <c r="AM354" s="331">
        <v>-0.18074451923962101</v>
      </c>
      <c r="AN354" s="331">
        <v>-0.27503276535752802</v>
      </c>
      <c r="AO354" s="331">
        <v>-0.281623390292981</v>
      </c>
      <c r="AP354" s="331">
        <v>-0.16261386678621001</v>
      </c>
      <c r="AQ354" s="331">
        <v>-0.12494437409298401</v>
      </c>
      <c r="AR354" s="331">
        <v>-0.11262406586736801</v>
      </c>
      <c r="AS354" s="331">
        <v>-6.0467682713826798E-2</v>
      </c>
      <c r="AT354" s="332">
        <v>-0.103896534879933</v>
      </c>
      <c r="AU354" s="161"/>
      <c r="AV354" s="161"/>
    </row>
  </sheetData>
  <mergeCells count="3">
    <mergeCell ref="F3:R3"/>
    <mergeCell ref="T3:AF3"/>
    <mergeCell ref="AH3:AT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6A77D"/>
  </sheetPr>
  <dimension ref="A1:L52"/>
  <sheetViews>
    <sheetView zoomScaleNormal="100" workbookViewId="0">
      <pane ySplit="2" topLeftCell="A3" activePane="bottomLeft" state="frozen"/>
      <selection pane="bottomLeft" activeCell="E11" sqref="E11"/>
    </sheetView>
  </sheetViews>
  <sheetFormatPr defaultColWidth="8.7109375" defaultRowHeight="15"/>
  <cols>
    <col min="1" max="1" width="6" customWidth="1"/>
    <col min="2" max="2" width="22.28515625" customWidth="1"/>
    <col min="3" max="3" width="33.42578125" customWidth="1"/>
    <col min="4" max="4" width="22.28515625" customWidth="1"/>
    <col min="5" max="5" width="13.7109375" customWidth="1"/>
    <col min="6" max="6" width="12" customWidth="1"/>
    <col min="7" max="8" width="18" customWidth="1"/>
    <col min="9" max="9" width="14.7109375" customWidth="1"/>
    <col min="10" max="10" width="18" customWidth="1"/>
    <col min="12" max="12" width="13" customWidth="1"/>
  </cols>
  <sheetData>
    <row r="1" spans="1:12" ht="31.5" customHeight="1">
      <c r="A1" s="480" t="s">
        <v>742</v>
      </c>
      <c r="B1" s="480"/>
      <c r="C1" s="480"/>
      <c r="D1" s="480"/>
      <c r="E1" s="480"/>
      <c r="F1" s="480"/>
      <c r="G1" s="480"/>
      <c r="H1" s="480"/>
      <c r="I1" s="480"/>
      <c r="J1" s="480"/>
    </row>
    <row r="2" spans="1:12" ht="47.25" customHeight="1">
      <c r="A2" s="377" t="s">
        <v>25</v>
      </c>
      <c r="B2" s="377" t="s">
        <v>93</v>
      </c>
      <c r="C2" s="377" t="s">
        <v>743</v>
      </c>
      <c r="D2" s="377" t="s">
        <v>92</v>
      </c>
      <c r="E2" s="377" t="s">
        <v>744</v>
      </c>
      <c r="F2" s="377" t="s">
        <v>745</v>
      </c>
      <c r="G2" s="378" t="s">
        <v>746</v>
      </c>
      <c r="H2" s="378" t="s">
        <v>95</v>
      </c>
      <c r="I2" s="378" t="s">
        <v>94</v>
      </c>
      <c r="J2" s="377" t="s">
        <v>10</v>
      </c>
      <c r="L2" s="379" t="s">
        <v>747</v>
      </c>
    </row>
    <row r="3" spans="1:12" ht="15" customHeight="1">
      <c r="A3" s="380">
        <v>1</v>
      </c>
      <c r="B3" s="381" t="s">
        <v>334</v>
      </c>
      <c r="C3" s="381" t="s">
        <v>748</v>
      </c>
      <c r="D3" s="381" t="s">
        <v>749</v>
      </c>
      <c r="E3" s="380">
        <v>300</v>
      </c>
      <c r="F3" s="380">
        <v>0</v>
      </c>
      <c r="G3" s="382">
        <v>91200</v>
      </c>
      <c r="H3" s="382"/>
      <c r="I3" s="383">
        <v>46143</v>
      </c>
      <c r="J3" s="384" t="s">
        <v>21</v>
      </c>
    </row>
    <row r="4" spans="1:12" ht="15" customHeight="1">
      <c r="A4" s="380">
        <v>2</v>
      </c>
      <c r="B4" s="381" t="s">
        <v>212</v>
      </c>
      <c r="C4" s="381" t="s">
        <v>750</v>
      </c>
      <c r="D4" s="381" t="s">
        <v>749</v>
      </c>
      <c r="E4" s="380">
        <v>900</v>
      </c>
      <c r="F4" s="380">
        <v>0</v>
      </c>
      <c r="G4" s="382">
        <v>540000</v>
      </c>
      <c r="H4" s="382">
        <v>648000</v>
      </c>
      <c r="I4" s="383">
        <v>46082</v>
      </c>
      <c r="J4" s="384" t="s">
        <v>21</v>
      </c>
    </row>
    <row r="5" spans="1:12" ht="15" customHeight="1">
      <c r="A5" s="380">
        <v>3</v>
      </c>
      <c r="B5" s="381" t="s">
        <v>212</v>
      </c>
      <c r="C5" s="381" t="s">
        <v>751</v>
      </c>
      <c r="D5" s="381" t="s">
        <v>749</v>
      </c>
      <c r="E5" s="380">
        <v>440</v>
      </c>
      <c r="F5" s="380">
        <v>0</v>
      </c>
      <c r="G5" s="382">
        <v>211200</v>
      </c>
      <c r="H5" s="382">
        <v>105600</v>
      </c>
      <c r="I5" s="383">
        <v>46049</v>
      </c>
      <c r="J5" s="384" t="s">
        <v>21</v>
      </c>
    </row>
    <row r="6" spans="1:12" ht="15" customHeight="1">
      <c r="A6" s="380">
        <v>4</v>
      </c>
      <c r="B6" s="381" t="s">
        <v>212</v>
      </c>
      <c r="C6" s="381" t="s">
        <v>752</v>
      </c>
      <c r="D6" s="381" t="s">
        <v>749</v>
      </c>
      <c r="E6" s="380">
        <v>200</v>
      </c>
      <c r="F6" s="380">
        <v>0</v>
      </c>
      <c r="G6" s="382">
        <v>86400</v>
      </c>
      <c r="H6" s="382">
        <v>78000</v>
      </c>
      <c r="I6" s="383">
        <v>46143</v>
      </c>
      <c r="J6" s="384" t="s">
        <v>21</v>
      </c>
    </row>
    <row r="7" spans="1:12" ht="15" customHeight="1">
      <c r="A7" s="380">
        <v>5</v>
      </c>
      <c r="B7" s="381" t="s">
        <v>212</v>
      </c>
      <c r="C7" s="381" t="s">
        <v>753</v>
      </c>
      <c r="D7" s="381" t="s">
        <v>749</v>
      </c>
      <c r="E7" s="380">
        <v>50</v>
      </c>
      <c r="F7" s="380">
        <v>0</v>
      </c>
      <c r="G7" s="382">
        <v>25000</v>
      </c>
      <c r="H7" s="382">
        <v>30000</v>
      </c>
      <c r="I7" s="383">
        <v>46082</v>
      </c>
      <c r="J7" s="384" t="s">
        <v>21</v>
      </c>
    </row>
    <row r="8" spans="1:12" ht="15" customHeight="1">
      <c r="A8" s="380">
        <v>6</v>
      </c>
      <c r="B8" s="381" t="s">
        <v>38</v>
      </c>
      <c r="C8" s="381" t="s">
        <v>754</v>
      </c>
      <c r="D8" s="381" t="s">
        <v>749</v>
      </c>
      <c r="E8" s="380">
        <v>1200</v>
      </c>
      <c r="F8" s="380">
        <v>0</v>
      </c>
      <c r="G8" s="382">
        <v>880000</v>
      </c>
      <c r="H8" s="382">
        <v>960000</v>
      </c>
      <c r="I8" s="383">
        <v>46054</v>
      </c>
      <c r="J8" s="384" t="s">
        <v>21</v>
      </c>
    </row>
    <row r="9" spans="1:12" ht="15" customHeight="1">
      <c r="A9" s="380">
        <v>7</v>
      </c>
      <c r="B9" s="381" t="s">
        <v>285</v>
      </c>
      <c r="C9" s="381" t="s">
        <v>269</v>
      </c>
      <c r="D9" s="381" t="s">
        <v>266</v>
      </c>
      <c r="E9" s="380">
        <v>4000</v>
      </c>
      <c r="F9" s="380">
        <v>0</v>
      </c>
      <c r="G9" s="382">
        <v>756000</v>
      </c>
      <c r="H9" s="382">
        <v>756000</v>
      </c>
      <c r="I9" s="383">
        <v>46113</v>
      </c>
      <c r="J9" s="384" t="s">
        <v>21</v>
      </c>
    </row>
    <row r="10" spans="1:12" ht="15" customHeight="1">
      <c r="A10" s="380">
        <v>8</v>
      </c>
      <c r="B10" s="381" t="s">
        <v>285</v>
      </c>
      <c r="C10" s="381" t="s">
        <v>755</v>
      </c>
      <c r="D10" s="381" t="s">
        <v>266</v>
      </c>
      <c r="E10" s="380">
        <v>1500</v>
      </c>
      <c r="F10" s="380">
        <v>0</v>
      </c>
      <c r="G10" s="382">
        <v>513000</v>
      </c>
      <c r="H10" s="382">
        <v>684000</v>
      </c>
      <c r="I10" s="383">
        <v>46127</v>
      </c>
      <c r="J10" s="384" t="s">
        <v>21</v>
      </c>
    </row>
    <row r="11" spans="1:12" ht="15" customHeight="1">
      <c r="A11" s="380">
        <v>9</v>
      </c>
      <c r="B11" s="381" t="s">
        <v>44</v>
      </c>
      <c r="C11" s="381" t="s">
        <v>352</v>
      </c>
      <c r="D11" s="381" t="s">
        <v>276</v>
      </c>
      <c r="E11" s="380">
        <v>2500</v>
      </c>
      <c r="F11" s="380">
        <v>0</v>
      </c>
      <c r="G11" s="382">
        <v>1650000</v>
      </c>
      <c r="H11" s="382">
        <f>SUM(G11/11)*12</f>
        <v>1800000</v>
      </c>
      <c r="I11" s="385">
        <v>46067</v>
      </c>
      <c r="J11" s="384" t="s">
        <v>21</v>
      </c>
      <c r="L11" s="386">
        <f>SUM(G11/10)/E11</f>
        <v>66</v>
      </c>
    </row>
    <row r="12" spans="1:12" ht="15" customHeight="1">
      <c r="A12" s="380">
        <v>10</v>
      </c>
      <c r="B12" s="381" t="s">
        <v>45</v>
      </c>
      <c r="C12" s="381" t="s">
        <v>756</v>
      </c>
      <c r="D12" s="381" t="s">
        <v>749</v>
      </c>
      <c r="E12" s="380">
        <v>0</v>
      </c>
      <c r="F12" s="380">
        <v>0</v>
      </c>
      <c r="G12" s="382">
        <v>1450000</v>
      </c>
      <c r="H12" s="382">
        <v>725000</v>
      </c>
      <c r="I12" s="383">
        <v>46143</v>
      </c>
      <c r="J12" s="384" t="s">
        <v>21</v>
      </c>
    </row>
    <row r="13" spans="1:12" ht="15" customHeight="1">
      <c r="A13" s="380">
        <v>11</v>
      </c>
      <c r="B13" s="381" t="s">
        <v>757</v>
      </c>
      <c r="C13" s="381" t="s">
        <v>758</v>
      </c>
      <c r="D13" s="381" t="s">
        <v>749</v>
      </c>
      <c r="E13" s="380">
        <v>0</v>
      </c>
      <c r="F13" s="380">
        <v>0</v>
      </c>
      <c r="G13" s="382">
        <v>197500</v>
      </c>
      <c r="H13" s="382">
        <v>197500</v>
      </c>
      <c r="I13" s="383">
        <v>46143</v>
      </c>
      <c r="J13" s="384" t="s">
        <v>21</v>
      </c>
    </row>
    <row r="14" spans="1:12" ht="15" customHeight="1">
      <c r="A14" s="380">
        <v>12</v>
      </c>
      <c r="B14" s="381"/>
      <c r="C14" s="381"/>
      <c r="D14" s="381"/>
      <c r="E14" s="380"/>
      <c r="F14" s="380"/>
      <c r="G14" s="382"/>
      <c r="H14" s="382"/>
      <c r="I14" s="383"/>
      <c r="J14" s="384"/>
    </row>
    <row r="15" spans="1:12" ht="15" customHeight="1">
      <c r="A15" s="380">
        <v>13</v>
      </c>
      <c r="B15" s="381"/>
      <c r="C15" s="381"/>
      <c r="D15" s="381"/>
      <c r="E15" s="380"/>
      <c r="F15" s="380"/>
      <c r="G15" s="382"/>
      <c r="H15" s="382"/>
      <c r="I15" s="383"/>
      <c r="J15" s="384"/>
    </row>
    <row r="16" spans="1:12" ht="15" customHeight="1">
      <c r="A16" s="380">
        <v>14</v>
      </c>
      <c r="B16" s="381"/>
      <c r="C16" s="381"/>
      <c r="D16" s="381"/>
      <c r="E16" s="380"/>
      <c r="F16" s="380"/>
      <c r="G16" s="382"/>
      <c r="H16" s="382"/>
      <c r="I16" s="383"/>
      <c r="J16" s="384"/>
    </row>
    <row r="17" spans="1:10" ht="15" customHeight="1">
      <c r="A17" s="380">
        <v>15</v>
      </c>
      <c r="B17" s="381"/>
      <c r="C17" s="381"/>
      <c r="D17" s="381"/>
      <c r="E17" s="380"/>
      <c r="F17" s="380"/>
      <c r="G17" s="382"/>
      <c r="H17" s="382"/>
      <c r="I17" s="383"/>
      <c r="J17" s="384"/>
    </row>
    <row r="18" spans="1:10" ht="15" customHeight="1">
      <c r="A18" s="380">
        <v>16</v>
      </c>
      <c r="B18" s="381"/>
      <c r="C18" s="381"/>
      <c r="D18" s="381"/>
      <c r="E18" s="380"/>
      <c r="F18" s="380"/>
      <c r="G18" s="382"/>
      <c r="H18" s="382"/>
      <c r="I18" s="383"/>
      <c r="J18" s="384"/>
    </row>
    <row r="19" spans="1:10" ht="15" customHeight="1">
      <c r="A19" s="380">
        <v>17</v>
      </c>
      <c r="B19" s="381"/>
      <c r="C19" s="381"/>
      <c r="D19" s="381"/>
      <c r="E19" s="380"/>
      <c r="F19" s="380"/>
      <c r="G19" s="382"/>
      <c r="H19" s="382"/>
      <c r="I19" s="383"/>
      <c r="J19" s="384"/>
    </row>
    <row r="20" spans="1:10" ht="15" customHeight="1">
      <c r="A20" s="380">
        <v>18</v>
      </c>
      <c r="B20" s="381"/>
      <c r="C20" s="381"/>
      <c r="D20" s="381"/>
      <c r="E20" s="380"/>
      <c r="F20" s="380"/>
      <c r="G20" s="382"/>
      <c r="H20" s="382"/>
      <c r="I20" s="383"/>
      <c r="J20" s="384"/>
    </row>
    <row r="21" spans="1:10" ht="15" customHeight="1">
      <c r="A21" s="380">
        <v>19</v>
      </c>
      <c r="B21" s="381"/>
      <c r="C21" s="381"/>
      <c r="D21" s="381"/>
      <c r="E21" s="380"/>
      <c r="F21" s="380"/>
      <c r="G21" s="382"/>
      <c r="H21" s="382"/>
      <c r="I21" s="383"/>
      <c r="J21" s="384"/>
    </row>
    <row r="22" spans="1:10" ht="15" customHeight="1">
      <c r="A22" s="380">
        <v>20</v>
      </c>
      <c r="B22" s="381"/>
      <c r="C22" s="381"/>
      <c r="D22" s="381"/>
      <c r="E22" s="380"/>
      <c r="F22" s="380"/>
      <c r="G22" s="382"/>
      <c r="H22" s="382"/>
      <c r="I22" s="383"/>
      <c r="J22" s="384"/>
    </row>
    <row r="23" spans="1:10" ht="15" customHeight="1">
      <c r="A23" s="380">
        <v>21</v>
      </c>
      <c r="B23" s="381"/>
      <c r="C23" s="381"/>
      <c r="D23" s="381"/>
      <c r="E23" s="380"/>
      <c r="F23" s="380"/>
      <c r="G23" s="382"/>
      <c r="H23" s="382"/>
      <c r="I23" s="383"/>
      <c r="J23" s="384"/>
    </row>
    <row r="24" spans="1:10" ht="15" customHeight="1">
      <c r="A24" s="380">
        <v>22</v>
      </c>
      <c r="B24" s="381"/>
      <c r="C24" s="381"/>
      <c r="D24" s="381"/>
      <c r="E24" s="380"/>
      <c r="F24" s="380"/>
      <c r="G24" s="382"/>
      <c r="H24" s="382"/>
      <c r="I24" s="383"/>
      <c r="J24" s="384"/>
    </row>
    <row r="25" spans="1:10" ht="15" customHeight="1">
      <c r="A25" s="380">
        <v>23</v>
      </c>
      <c r="B25" s="381"/>
      <c r="C25" s="381"/>
      <c r="D25" s="381"/>
      <c r="E25" s="380"/>
      <c r="F25" s="380"/>
      <c r="G25" s="382"/>
      <c r="H25" s="382"/>
      <c r="I25" s="383"/>
      <c r="J25" s="384"/>
    </row>
    <row r="26" spans="1:10" ht="15" customHeight="1">
      <c r="A26" s="380">
        <v>24</v>
      </c>
      <c r="B26" s="381"/>
      <c r="C26" s="381"/>
      <c r="D26" s="381"/>
      <c r="E26" s="380"/>
      <c r="F26" s="380"/>
      <c r="G26" s="382"/>
      <c r="H26" s="382"/>
      <c r="I26" s="383"/>
      <c r="J26" s="384"/>
    </row>
    <row r="27" spans="1:10" ht="15" customHeight="1">
      <c r="A27" s="380">
        <v>25</v>
      </c>
      <c r="B27" s="381"/>
      <c r="C27" s="381"/>
      <c r="D27" s="381"/>
      <c r="E27" s="380"/>
      <c r="F27" s="380"/>
      <c r="G27" s="382"/>
      <c r="H27" s="382"/>
      <c r="I27" s="383"/>
      <c r="J27" s="384"/>
    </row>
    <row r="28" spans="1:10" ht="15" customHeight="1">
      <c r="A28" s="380">
        <v>26</v>
      </c>
      <c r="B28" s="381"/>
      <c r="C28" s="381"/>
      <c r="D28" s="381"/>
      <c r="E28" s="380"/>
      <c r="F28" s="380"/>
      <c r="G28" s="382"/>
      <c r="H28" s="382"/>
      <c r="I28" s="383"/>
      <c r="J28" s="384"/>
    </row>
    <row r="29" spans="1:10" ht="15" customHeight="1">
      <c r="A29" s="380">
        <v>27</v>
      </c>
      <c r="B29" s="381"/>
      <c r="C29" s="381"/>
      <c r="D29" s="381"/>
      <c r="E29" s="380"/>
      <c r="F29" s="380"/>
      <c r="G29" s="382"/>
      <c r="H29" s="382"/>
      <c r="I29" s="383"/>
      <c r="J29" s="384"/>
    </row>
    <row r="30" spans="1:10" ht="15" customHeight="1">
      <c r="A30" s="380">
        <v>28</v>
      </c>
      <c r="B30" s="381"/>
      <c r="C30" s="381"/>
      <c r="D30" s="381"/>
      <c r="E30" s="380"/>
      <c r="F30" s="380"/>
      <c r="G30" s="382"/>
      <c r="H30" s="382"/>
      <c r="I30" s="383"/>
      <c r="J30" s="384"/>
    </row>
    <row r="31" spans="1:10" ht="15" customHeight="1">
      <c r="A31" s="380">
        <v>29</v>
      </c>
      <c r="B31" s="381"/>
      <c r="C31" s="381"/>
      <c r="D31" s="381"/>
      <c r="E31" s="380"/>
      <c r="F31" s="380"/>
      <c r="G31" s="382"/>
      <c r="H31" s="382"/>
      <c r="I31" s="383"/>
      <c r="J31" s="384"/>
    </row>
    <row r="32" spans="1:10" ht="15" customHeight="1">
      <c r="A32" s="380">
        <v>30</v>
      </c>
      <c r="B32" s="381"/>
      <c r="C32" s="381"/>
      <c r="D32" s="381"/>
      <c r="E32" s="380"/>
      <c r="F32" s="380"/>
      <c r="G32" s="382"/>
      <c r="H32" s="382"/>
      <c r="I32" s="383"/>
      <c r="J32" s="384"/>
    </row>
    <row r="33" spans="1:10" ht="15" customHeight="1">
      <c r="A33" s="380">
        <v>31</v>
      </c>
      <c r="B33" s="381"/>
      <c r="C33" s="381"/>
      <c r="D33" s="381"/>
      <c r="E33" s="380"/>
      <c r="F33" s="380"/>
      <c r="G33" s="382"/>
      <c r="H33" s="382"/>
      <c r="I33" s="383"/>
      <c r="J33" s="384"/>
    </row>
    <row r="34" spans="1:10" ht="15" customHeight="1">
      <c r="A34" s="380">
        <v>32</v>
      </c>
      <c r="B34" s="381"/>
      <c r="C34" s="381"/>
      <c r="D34" s="381"/>
      <c r="E34" s="380"/>
      <c r="F34" s="380"/>
      <c r="G34" s="382"/>
      <c r="H34" s="382"/>
      <c r="I34" s="383"/>
      <c r="J34" s="384"/>
    </row>
    <row r="35" spans="1:10" ht="15" customHeight="1">
      <c r="A35" s="380">
        <v>33</v>
      </c>
      <c r="B35" s="381"/>
      <c r="C35" s="381"/>
      <c r="D35" s="381"/>
      <c r="E35" s="380"/>
      <c r="F35" s="380"/>
      <c r="G35" s="382"/>
      <c r="H35" s="382"/>
      <c r="I35" s="383"/>
      <c r="J35" s="384"/>
    </row>
    <row r="36" spans="1:10" ht="15" customHeight="1">
      <c r="A36" s="380">
        <v>34</v>
      </c>
      <c r="B36" s="381"/>
      <c r="C36" s="381"/>
      <c r="D36" s="381"/>
      <c r="E36" s="380"/>
      <c r="F36" s="380"/>
      <c r="G36" s="382"/>
      <c r="H36" s="382"/>
      <c r="I36" s="383"/>
      <c r="J36" s="384"/>
    </row>
    <row r="37" spans="1:10" ht="15" customHeight="1">
      <c r="A37" s="380">
        <v>35</v>
      </c>
      <c r="B37" s="381"/>
      <c r="C37" s="381"/>
      <c r="D37" s="381"/>
      <c r="E37" s="380"/>
      <c r="F37" s="380"/>
      <c r="G37" s="382"/>
      <c r="H37" s="382"/>
      <c r="I37" s="383"/>
      <c r="J37" s="384"/>
    </row>
    <row r="38" spans="1:10" ht="15" customHeight="1">
      <c r="A38" s="380">
        <v>36</v>
      </c>
      <c r="B38" s="381"/>
      <c r="C38" s="381"/>
      <c r="D38" s="381"/>
      <c r="E38" s="380"/>
      <c r="F38" s="380"/>
      <c r="G38" s="382"/>
      <c r="H38" s="382"/>
      <c r="I38" s="383"/>
      <c r="J38" s="384"/>
    </row>
    <row r="39" spans="1:10" ht="15" customHeight="1">
      <c r="A39" s="380">
        <v>37</v>
      </c>
      <c r="B39" s="381"/>
      <c r="C39" s="381"/>
      <c r="D39" s="381"/>
      <c r="E39" s="380"/>
      <c r="F39" s="380"/>
      <c r="G39" s="382"/>
      <c r="H39" s="382"/>
      <c r="I39" s="383"/>
      <c r="J39" s="384"/>
    </row>
    <row r="40" spans="1:10" ht="15" customHeight="1">
      <c r="A40" s="380">
        <v>38</v>
      </c>
      <c r="B40" s="381"/>
      <c r="C40" s="381"/>
      <c r="D40" s="381"/>
      <c r="E40" s="380"/>
      <c r="F40" s="380"/>
      <c r="G40" s="382"/>
      <c r="H40" s="382"/>
      <c r="I40" s="383"/>
      <c r="J40" s="384"/>
    </row>
    <row r="41" spans="1:10" ht="15" customHeight="1">
      <c r="A41" s="380">
        <v>39</v>
      </c>
      <c r="B41" s="381"/>
      <c r="C41" s="381"/>
      <c r="D41" s="381"/>
      <c r="E41" s="380"/>
      <c r="F41" s="380"/>
      <c r="G41" s="382"/>
      <c r="H41" s="382"/>
      <c r="I41" s="383"/>
      <c r="J41" s="384"/>
    </row>
    <row r="42" spans="1:10" ht="15" customHeight="1">
      <c r="A42" s="380">
        <v>40</v>
      </c>
      <c r="B42" s="381"/>
      <c r="C42" s="381"/>
      <c r="D42" s="381"/>
      <c r="E42" s="380"/>
      <c r="F42" s="380"/>
      <c r="G42" s="382"/>
      <c r="H42" s="382"/>
      <c r="I42" s="383"/>
      <c r="J42" s="384"/>
    </row>
    <row r="43" spans="1:10" ht="15" customHeight="1">
      <c r="A43" s="380">
        <v>41</v>
      </c>
      <c r="B43" s="381"/>
      <c r="C43" s="381"/>
      <c r="D43" s="381"/>
      <c r="E43" s="380"/>
      <c r="F43" s="380"/>
      <c r="G43" s="382"/>
      <c r="H43" s="382"/>
      <c r="I43" s="383"/>
      <c r="J43" s="384"/>
    </row>
    <row r="44" spans="1:10" ht="15" customHeight="1">
      <c r="A44" s="380">
        <v>42</v>
      </c>
      <c r="B44" s="381"/>
      <c r="C44" s="381"/>
      <c r="D44" s="381"/>
      <c r="E44" s="380"/>
      <c r="F44" s="380"/>
      <c r="G44" s="382"/>
      <c r="H44" s="382"/>
      <c r="I44" s="383"/>
      <c r="J44" s="384"/>
    </row>
    <row r="45" spans="1:10" ht="15" customHeight="1">
      <c r="A45" s="380">
        <v>43</v>
      </c>
      <c r="B45" s="381"/>
      <c r="C45" s="381"/>
      <c r="D45" s="381"/>
      <c r="E45" s="380"/>
      <c r="F45" s="380"/>
      <c r="G45" s="382"/>
      <c r="H45" s="382"/>
      <c r="I45" s="383"/>
      <c r="J45" s="384"/>
    </row>
    <row r="46" spans="1:10" ht="15" customHeight="1">
      <c r="A46" s="380">
        <v>44</v>
      </c>
      <c r="B46" s="381"/>
      <c r="C46" s="381"/>
      <c r="D46" s="381"/>
      <c r="E46" s="380"/>
      <c r="F46" s="380"/>
      <c r="G46" s="382"/>
      <c r="H46" s="382"/>
      <c r="I46" s="383"/>
      <c r="J46" s="384"/>
    </row>
    <row r="47" spans="1:10" ht="15" customHeight="1">
      <c r="A47" s="380">
        <v>45</v>
      </c>
      <c r="B47" s="381"/>
      <c r="C47" s="381"/>
      <c r="D47" s="381"/>
      <c r="E47" s="380"/>
      <c r="F47" s="380"/>
      <c r="G47" s="382"/>
      <c r="H47" s="382"/>
      <c r="I47" s="383"/>
      <c r="J47" s="384"/>
    </row>
    <row r="48" spans="1:10" ht="15" customHeight="1">
      <c r="A48" s="380">
        <v>46</v>
      </c>
      <c r="B48" s="381"/>
      <c r="C48" s="381"/>
      <c r="D48" s="381"/>
      <c r="E48" s="380"/>
      <c r="F48" s="380"/>
      <c r="G48" s="382"/>
      <c r="H48" s="382"/>
      <c r="I48" s="383"/>
      <c r="J48" s="384"/>
    </row>
    <row r="49" spans="1:10" ht="15" customHeight="1">
      <c r="A49" s="380">
        <v>47</v>
      </c>
      <c r="B49" s="381"/>
      <c r="C49" s="381"/>
      <c r="D49" s="381"/>
      <c r="E49" s="380"/>
      <c r="F49" s="380"/>
      <c r="G49" s="387"/>
      <c r="H49" s="387"/>
      <c r="I49" s="383"/>
      <c r="J49" s="384"/>
    </row>
    <row r="50" spans="1:10" ht="15" customHeight="1">
      <c r="A50" s="380">
        <v>48</v>
      </c>
      <c r="B50" s="381"/>
      <c r="C50" s="381"/>
      <c r="D50" s="381"/>
      <c r="E50" s="380"/>
      <c r="F50" s="380"/>
      <c r="G50" s="387"/>
      <c r="H50" s="387"/>
      <c r="I50" s="383"/>
      <c r="J50" s="384"/>
    </row>
    <row r="51" spans="1:10" ht="15" customHeight="1">
      <c r="A51" s="380">
        <v>49</v>
      </c>
      <c r="B51" s="381"/>
      <c r="C51" s="381"/>
      <c r="D51" s="381"/>
      <c r="E51" s="380"/>
      <c r="F51" s="380"/>
      <c r="G51" s="387"/>
      <c r="H51" s="387"/>
      <c r="I51" s="383"/>
      <c r="J51" s="384"/>
    </row>
    <row r="52" spans="1:10" ht="15" customHeight="1">
      <c r="A52" s="380">
        <v>50</v>
      </c>
      <c r="B52" s="381"/>
      <c r="C52" s="381"/>
      <c r="D52" s="381"/>
      <c r="E52" s="380"/>
      <c r="F52" s="380"/>
      <c r="G52" s="387"/>
      <c r="H52" s="387"/>
      <c r="I52" s="383"/>
      <c r="J52" s="384"/>
    </row>
  </sheetData>
  <autoFilter ref="A2:J52" xr:uid="{00000000-0009-0000-0000-000005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DACBA"/>
  </sheetPr>
  <dimension ref="A1:O68"/>
  <sheetViews>
    <sheetView zoomScaleNormal="100" workbookViewId="0">
      <pane ySplit="6" topLeftCell="A46" activePane="bottomLeft" state="frozen"/>
      <selection pane="bottomLeft" activeCell="G66" sqref="G66"/>
    </sheetView>
  </sheetViews>
  <sheetFormatPr defaultColWidth="8.7109375" defaultRowHeight="15"/>
  <cols>
    <col min="1" max="1" width="25.85546875" customWidth="1"/>
    <col min="2" max="2" width="57.140625" customWidth="1"/>
    <col min="3" max="6" width="15.42578125" customWidth="1"/>
    <col min="7" max="14" width="13" customWidth="1"/>
    <col min="15" max="15" width="16.85546875" customWidth="1"/>
  </cols>
  <sheetData>
    <row r="1" spans="1:15" ht="15" customHeight="1">
      <c r="A1" s="486" t="s">
        <v>759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</row>
    <row r="2" spans="1:15" ht="15" customHeight="1">
      <c r="A2" s="486" t="s">
        <v>760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1:15" ht="15" customHeight="1">
      <c r="A3" s="486" t="s">
        <v>761</v>
      </c>
      <c r="B3" s="486"/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  <c r="N3" s="486"/>
      <c r="O3" s="486"/>
    </row>
    <row r="5" spans="1:15" ht="1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</row>
    <row r="6" spans="1:15" s="389" customFormat="1" ht="15" customHeight="1">
      <c r="A6" s="388" t="s">
        <v>762</v>
      </c>
      <c r="B6" s="388" t="s">
        <v>376</v>
      </c>
      <c r="C6" s="388" t="s">
        <v>763</v>
      </c>
      <c r="D6" s="388" t="s">
        <v>764</v>
      </c>
      <c r="E6" s="388" t="s">
        <v>765</v>
      </c>
      <c r="F6" s="388" t="s">
        <v>766</v>
      </c>
      <c r="G6" s="388" t="s">
        <v>767</v>
      </c>
      <c r="H6" s="388" t="s">
        <v>768</v>
      </c>
      <c r="I6" s="388" t="s">
        <v>769</v>
      </c>
      <c r="J6" s="388" t="s">
        <v>770</v>
      </c>
      <c r="K6" s="388" t="s">
        <v>771</v>
      </c>
      <c r="L6" s="388" t="s">
        <v>772</v>
      </c>
      <c r="M6" s="388" t="s">
        <v>773</v>
      </c>
      <c r="N6" s="388" t="s">
        <v>774</v>
      </c>
      <c r="O6" s="388" t="s">
        <v>775</v>
      </c>
    </row>
    <row r="7" spans="1:15" ht="15" customHeight="1">
      <c r="A7" s="390" t="s">
        <v>776</v>
      </c>
      <c r="B7" s="390" t="s">
        <v>777</v>
      </c>
      <c r="C7" s="391">
        <v>8115849.3499999996</v>
      </c>
      <c r="D7" s="391">
        <v>7432397.9500000002</v>
      </c>
      <c r="E7" s="391">
        <v>7272375.1799999997</v>
      </c>
      <c r="F7" s="391">
        <v>6818737.4100000001</v>
      </c>
      <c r="G7" s="391"/>
      <c r="H7" s="391"/>
      <c r="I7" s="391"/>
      <c r="J7" s="391"/>
      <c r="K7" s="391"/>
      <c r="L7" s="391"/>
      <c r="M7" s="391"/>
      <c r="N7" s="391"/>
      <c r="O7" s="391">
        <f>SUM(C7:N7)</f>
        <v>29639359.890000001</v>
      </c>
    </row>
    <row r="8" spans="1:15" ht="15" customHeight="1">
      <c r="A8" s="390"/>
      <c r="B8" s="390"/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O8" s="392"/>
    </row>
    <row r="9" spans="1:15" ht="15" customHeight="1">
      <c r="A9" s="390"/>
      <c r="B9" s="390"/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2"/>
      <c r="O9" s="392"/>
    </row>
    <row r="10" spans="1:15" ht="15" customHeight="1">
      <c r="A10" s="390" t="s">
        <v>778</v>
      </c>
      <c r="B10" s="390" t="s">
        <v>779</v>
      </c>
      <c r="C10" s="393">
        <v>153542.32999999999</v>
      </c>
      <c r="D10" s="393">
        <v>151481.32999999999</v>
      </c>
      <c r="E10" s="393">
        <v>111017.33</v>
      </c>
      <c r="F10" s="393">
        <v>119593.33</v>
      </c>
      <c r="G10" s="393"/>
      <c r="H10" s="393"/>
      <c r="I10" s="393"/>
      <c r="J10" s="393"/>
      <c r="K10" s="393"/>
      <c r="L10" s="393"/>
      <c r="M10" s="393"/>
      <c r="N10" s="393"/>
      <c r="O10" s="393">
        <f t="shared" ref="O10:O41" si="0">SUM(C10:N10)</f>
        <v>535634.31999999995</v>
      </c>
    </row>
    <row r="11" spans="1:15" ht="15" customHeight="1">
      <c r="A11" s="390" t="s">
        <v>780</v>
      </c>
      <c r="B11" s="390" t="s">
        <v>781</v>
      </c>
      <c r="C11" s="393">
        <v>183860</v>
      </c>
      <c r="D11" s="393">
        <v>195811.17</v>
      </c>
      <c r="E11" s="393">
        <v>189650.66</v>
      </c>
      <c r="F11" s="393">
        <v>209834.91</v>
      </c>
      <c r="G11" s="393"/>
      <c r="H11" s="393"/>
      <c r="I11" s="393"/>
      <c r="J11" s="393"/>
      <c r="K11" s="393"/>
      <c r="L11" s="393"/>
      <c r="M11" s="393"/>
      <c r="N11" s="393"/>
      <c r="O11" s="393">
        <f t="shared" si="0"/>
        <v>779156.74000000011</v>
      </c>
    </row>
    <row r="12" spans="1:15" ht="15" customHeight="1">
      <c r="A12" s="390" t="s">
        <v>782</v>
      </c>
      <c r="B12" s="390" t="s">
        <v>783</v>
      </c>
      <c r="C12" s="393">
        <v>5595</v>
      </c>
      <c r="D12" s="393">
        <v>5844</v>
      </c>
      <c r="E12" s="393">
        <v>5617.5</v>
      </c>
      <c r="F12" s="393">
        <v>5695.5</v>
      </c>
      <c r="G12" s="393"/>
      <c r="H12" s="393"/>
      <c r="I12" s="393"/>
      <c r="J12" s="393"/>
      <c r="K12" s="393"/>
      <c r="L12" s="393"/>
      <c r="M12" s="393"/>
      <c r="N12" s="393"/>
      <c r="O12" s="393">
        <f t="shared" si="0"/>
        <v>22752</v>
      </c>
    </row>
    <row r="13" spans="1:15" ht="15" customHeight="1">
      <c r="A13" s="394" t="s">
        <v>784</v>
      </c>
      <c r="B13" s="394" t="s">
        <v>785</v>
      </c>
      <c r="C13" s="395">
        <v>6000</v>
      </c>
      <c r="D13" s="395">
        <v>6000</v>
      </c>
      <c r="E13" s="395">
        <v>6000</v>
      </c>
      <c r="F13" s="395">
        <v>6000</v>
      </c>
      <c r="G13" s="395"/>
      <c r="H13" s="395"/>
      <c r="I13" s="395"/>
      <c r="J13" s="395"/>
      <c r="K13" s="395"/>
      <c r="L13" s="395"/>
      <c r="M13" s="395"/>
      <c r="N13" s="395"/>
      <c r="O13" s="395">
        <f t="shared" si="0"/>
        <v>24000</v>
      </c>
    </row>
    <row r="14" spans="1:15" ht="15" customHeight="1">
      <c r="A14" s="390" t="s">
        <v>786</v>
      </c>
      <c r="B14" s="390" t="s">
        <v>787</v>
      </c>
      <c r="C14" s="393">
        <v>5500</v>
      </c>
      <c r="D14" s="393">
        <v>5500</v>
      </c>
      <c r="E14" s="393">
        <v>5500</v>
      </c>
      <c r="F14" s="393">
        <v>5500</v>
      </c>
      <c r="G14" s="393"/>
      <c r="H14" s="393"/>
      <c r="I14" s="393"/>
      <c r="J14" s="393"/>
      <c r="K14" s="393"/>
      <c r="L14" s="393"/>
      <c r="M14" s="393"/>
      <c r="N14" s="393"/>
      <c r="O14" s="393">
        <f t="shared" si="0"/>
        <v>22000</v>
      </c>
    </row>
    <row r="15" spans="1:15" ht="15" customHeight="1">
      <c r="A15" s="394" t="s">
        <v>788</v>
      </c>
      <c r="B15" s="394" t="s">
        <v>789</v>
      </c>
      <c r="C15" s="395">
        <v>92166.399999999994</v>
      </c>
      <c r="D15" s="395">
        <v>89713.13</v>
      </c>
      <c r="E15" s="395">
        <v>87956.35</v>
      </c>
      <c r="F15" s="395">
        <v>75400.38</v>
      </c>
      <c r="G15" s="395"/>
      <c r="H15" s="395"/>
      <c r="I15" s="395"/>
      <c r="J15" s="395"/>
      <c r="K15" s="395"/>
      <c r="L15" s="395"/>
      <c r="M15" s="395"/>
      <c r="N15" s="395"/>
      <c r="O15" s="395">
        <f t="shared" si="0"/>
        <v>345236.26</v>
      </c>
    </row>
    <row r="16" spans="1:15" ht="15" customHeight="1">
      <c r="A16" s="394" t="s">
        <v>790</v>
      </c>
      <c r="B16" s="394" t="s">
        <v>791</v>
      </c>
      <c r="C16" s="396"/>
      <c r="D16" s="396"/>
      <c r="E16" s="396"/>
      <c r="F16" s="395">
        <v>4224</v>
      </c>
      <c r="G16" s="395"/>
      <c r="H16" s="395"/>
      <c r="I16" s="395"/>
      <c r="J16" s="395"/>
      <c r="K16" s="395"/>
      <c r="L16" s="395"/>
      <c r="M16" s="395"/>
      <c r="N16" s="395"/>
      <c r="O16" s="395">
        <f t="shared" si="0"/>
        <v>4224</v>
      </c>
    </row>
    <row r="17" spans="1:15" ht="15" customHeight="1">
      <c r="A17" s="390" t="s">
        <v>792</v>
      </c>
      <c r="B17" s="390" t="s">
        <v>793</v>
      </c>
      <c r="C17" s="393">
        <v>719112.8</v>
      </c>
      <c r="D17" s="393">
        <v>766900.73</v>
      </c>
      <c r="E17" s="393">
        <v>727848.65</v>
      </c>
      <c r="F17" s="393">
        <v>399966.43</v>
      </c>
      <c r="G17" s="393"/>
      <c r="H17" s="393"/>
      <c r="I17" s="393"/>
      <c r="J17" s="393"/>
      <c r="K17" s="393"/>
      <c r="L17" s="393"/>
      <c r="M17" s="393"/>
      <c r="N17" s="393"/>
      <c r="O17" s="393">
        <f t="shared" si="0"/>
        <v>2613828.6100000003</v>
      </c>
    </row>
    <row r="18" spans="1:15" ht="15" customHeight="1">
      <c r="A18" s="390" t="s">
        <v>794</v>
      </c>
      <c r="B18" s="390" t="s">
        <v>795</v>
      </c>
      <c r="C18" s="393">
        <v>704580</v>
      </c>
      <c r="D18" s="393">
        <v>704580</v>
      </c>
      <c r="E18" s="393">
        <v>704580</v>
      </c>
      <c r="F18" s="393">
        <v>704580</v>
      </c>
      <c r="G18" s="393"/>
      <c r="H18" s="393"/>
      <c r="I18" s="393"/>
      <c r="J18" s="393"/>
      <c r="K18" s="393"/>
      <c r="L18" s="393"/>
      <c r="M18" s="393"/>
      <c r="N18" s="393"/>
      <c r="O18" s="393">
        <f t="shared" si="0"/>
        <v>2818320</v>
      </c>
    </row>
    <row r="19" spans="1:15" ht="15" customHeight="1">
      <c r="A19" s="394" t="s">
        <v>796</v>
      </c>
      <c r="B19" s="394" t="s">
        <v>797</v>
      </c>
      <c r="C19" s="395">
        <v>38099</v>
      </c>
      <c r="D19" s="395">
        <v>38921</v>
      </c>
      <c r="E19" s="395">
        <v>74947</v>
      </c>
      <c r="F19" s="395">
        <v>49483</v>
      </c>
      <c r="G19" s="395"/>
      <c r="H19" s="395"/>
      <c r="I19" s="395"/>
      <c r="J19" s="395"/>
      <c r="K19" s="395"/>
      <c r="L19" s="395"/>
      <c r="M19" s="395"/>
      <c r="N19" s="395"/>
      <c r="O19" s="395">
        <f t="shared" si="0"/>
        <v>201450</v>
      </c>
    </row>
    <row r="20" spans="1:15" ht="15" customHeight="1">
      <c r="A20" s="390" t="s">
        <v>798</v>
      </c>
      <c r="B20" s="390" t="s">
        <v>799</v>
      </c>
      <c r="C20" s="393">
        <v>264304</v>
      </c>
      <c r="D20" s="393">
        <v>274710</v>
      </c>
      <c r="E20" s="393">
        <v>308797</v>
      </c>
      <c r="F20" s="393">
        <v>316397</v>
      </c>
      <c r="G20" s="393"/>
      <c r="H20" s="393"/>
      <c r="I20" s="393"/>
      <c r="J20" s="393"/>
      <c r="K20" s="393"/>
      <c r="L20" s="393"/>
      <c r="M20" s="393"/>
      <c r="N20" s="393"/>
      <c r="O20" s="393">
        <f t="shared" si="0"/>
        <v>1164208</v>
      </c>
    </row>
    <row r="21" spans="1:15" ht="15" customHeight="1">
      <c r="A21" s="394" t="s">
        <v>800</v>
      </c>
      <c r="B21" s="394" t="s">
        <v>801</v>
      </c>
      <c r="C21" s="395">
        <v>1209752</v>
      </c>
      <c r="D21" s="395">
        <v>1211420</v>
      </c>
      <c r="E21" s="395">
        <v>1197100</v>
      </c>
      <c r="F21" s="395">
        <v>1203016</v>
      </c>
      <c r="G21" s="395"/>
      <c r="H21" s="395"/>
      <c r="I21" s="395"/>
      <c r="J21" s="395"/>
      <c r="K21" s="395"/>
      <c r="L21" s="395"/>
      <c r="M21" s="395"/>
      <c r="N21" s="395"/>
      <c r="O21" s="395">
        <f t="shared" si="0"/>
        <v>4821288</v>
      </c>
    </row>
    <row r="22" spans="1:15" ht="15" customHeight="1">
      <c r="A22" s="390" t="s">
        <v>802</v>
      </c>
      <c r="B22" s="390" t="s">
        <v>803</v>
      </c>
      <c r="C22" s="393">
        <v>16084</v>
      </c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392"/>
      <c r="O22" s="393">
        <f t="shared" si="0"/>
        <v>16084</v>
      </c>
    </row>
    <row r="23" spans="1:15" ht="15" customHeight="1">
      <c r="A23" s="390" t="s">
        <v>804</v>
      </c>
      <c r="B23" s="390" t="s">
        <v>805</v>
      </c>
      <c r="C23" s="393">
        <v>669.6</v>
      </c>
      <c r="D23" s="393">
        <v>604.79999999999995</v>
      </c>
      <c r="E23" s="393">
        <v>324</v>
      </c>
      <c r="F23" s="392"/>
      <c r="G23" s="392"/>
      <c r="H23" s="392"/>
      <c r="I23" s="392"/>
      <c r="J23" s="392"/>
      <c r="K23" s="392"/>
      <c r="L23" s="392"/>
      <c r="M23" s="392"/>
      <c r="N23" s="392"/>
      <c r="O23" s="393">
        <f t="shared" si="0"/>
        <v>1598.4</v>
      </c>
    </row>
    <row r="24" spans="1:15" ht="15" customHeight="1">
      <c r="A24" s="394" t="s">
        <v>806</v>
      </c>
      <c r="B24" s="394" t="s">
        <v>807</v>
      </c>
      <c r="C24" s="395">
        <v>6920.5</v>
      </c>
      <c r="D24" s="395">
        <v>5890</v>
      </c>
      <c r="E24" s="395">
        <v>5800</v>
      </c>
      <c r="F24" s="395">
        <v>5927.5</v>
      </c>
      <c r="G24" s="395"/>
      <c r="H24" s="395"/>
      <c r="I24" s="395"/>
      <c r="J24" s="395"/>
      <c r="K24" s="395"/>
      <c r="L24" s="395"/>
      <c r="M24" s="395"/>
      <c r="N24" s="395"/>
      <c r="O24" s="395">
        <f t="shared" si="0"/>
        <v>24538</v>
      </c>
    </row>
    <row r="25" spans="1:15" ht="15" customHeight="1">
      <c r="A25" s="390" t="s">
        <v>808</v>
      </c>
      <c r="B25" s="390" t="s">
        <v>809</v>
      </c>
      <c r="C25" s="393">
        <v>1568.4</v>
      </c>
      <c r="D25" s="393">
        <v>1310.4000000000001</v>
      </c>
      <c r="E25" s="393">
        <v>1450.8</v>
      </c>
      <c r="F25" s="393">
        <v>1450.8</v>
      </c>
      <c r="G25" s="393"/>
      <c r="H25" s="393"/>
      <c r="I25" s="393"/>
      <c r="J25" s="393"/>
      <c r="K25" s="393"/>
      <c r="L25" s="393"/>
      <c r="M25" s="393"/>
      <c r="N25" s="393"/>
      <c r="O25" s="393">
        <f t="shared" si="0"/>
        <v>5780.4000000000005</v>
      </c>
    </row>
    <row r="26" spans="1:15" ht="15" customHeight="1">
      <c r="A26" s="390" t="s">
        <v>810</v>
      </c>
      <c r="B26" s="390" t="s">
        <v>811</v>
      </c>
      <c r="C26" s="393">
        <v>322768.5</v>
      </c>
      <c r="D26" s="393">
        <v>263249.5</v>
      </c>
      <c r="E26" s="393">
        <v>247026</v>
      </c>
      <c r="F26" s="393">
        <v>298295</v>
      </c>
      <c r="G26" s="393"/>
      <c r="H26" s="393"/>
      <c r="I26" s="393"/>
      <c r="J26" s="393"/>
      <c r="K26" s="393"/>
      <c r="L26" s="393"/>
      <c r="M26" s="393"/>
      <c r="N26" s="393"/>
      <c r="O26" s="393">
        <f t="shared" si="0"/>
        <v>1131339</v>
      </c>
    </row>
    <row r="27" spans="1:15" ht="15" customHeight="1">
      <c r="A27" s="394" t="s">
        <v>812</v>
      </c>
      <c r="B27" s="394" t="s">
        <v>813</v>
      </c>
      <c r="C27" s="395">
        <v>80400</v>
      </c>
      <c r="D27" s="395">
        <v>80400</v>
      </c>
      <c r="E27" s="395">
        <v>80400</v>
      </c>
      <c r="F27" s="395">
        <v>80400</v>
      </c>
      <c r="G27" s="395"/>
      <c r="H27" s="395"/>
      <c r="I27" s="395"/>
      <c r="J27" s="395"/>
      <c r="K27" s="395"/>
      <c r="L27" s="395"/>
      <c r="M27" s="395"/>
      <c r="N27" s="395"/>
      <c r="O27" s="395">
        <f t="shared" si="0"/>
        <v>321600</v>
      </c>
    </row>
    <row r="28" spans="1:15" ht="15" customHeight="1">
      <c r="A28" s="394" t="s">
        <v>814</v>
      </c>
      <c r="B28" s="394" t="s">
        <v>815</v>
      </c>
      <c r="C28" s="395">
        <v>67500</v>
      </c>
      <c r="D28" s="395">
        <v>67500</v>
      </c>
      <c r="E28" s="395">
        <v>87450</v>
      </c>
      <c r="F28" s="395">
        <v>58447</v>
      </c>
      <c r="G28" s="395"/>
      <c r="H28" s="395"/>
      <c r="I28" s="395"/>
      <c r="J28" s="395"/>
      <c r="K28" s="395"/>
      <c r="L28" s="395"/>
      <c r="M28" s="395"/>
      <c r="N28" s="395"/>
      <c r="O28" s="395">
        <f t="shared" si="0"/>
        <v>280897</v>
      </c>
    </row>
    <row r="29" spans="1:15" ht="15" customHeight="1">
      <c r="A29" s="394" t="s">
        <v>816</v>
      </c>
      <c r="B29" s="394" t="s">
        <v>817</v>
      </c>
      <c r="C29" s="395">
        <v>427427.53</v>
      </c>
      <c r="D29" s="395">
        <v>400151.34</v>
      </c>
      <c r="E29" s="395">
        <v>457086.77</v>
      </c>
      <c r="F29" s="395">
        <v>461916.06</v>
      </c>
      <c r="G29" s="395"/>
      <c r="H29" s="395"/>
      <c r="I29" s="395"/>
      <c r="J29" s="395"/>
      <c r="K29" s="395"/>
      <c r="L29" s="395"/>
      <c r="M29" s="395"/>
      <c r="N29" s="395"/>
      <c r="O29" s="395">
        <f t="shared" si="0"/>
        <v>1746581.7000000002</v>
      </c>
    </row>
    <row r="30" spans="1:15" ht="15" customHeight="1">
      <c r="A30" s="390" t="s">
        <v>818</v>
      </c>
      <c r="B30" s="390" t="s">
        <v>793</v>
      </c>
      <c r="C30" s="393">
        <v>1486803.74</v>
      </c>
      <c r="D30" s="393">
        <v>1195589.97</v>
      </c>
      <c r="E30" s="393">
        <v>1084037.8999999999</v>
      </c>
      <c r="F30" s="393">
        <v>895778.97</v>
      </c>
      <c r="G30" s="393"/>
      <c r="H30" s="393"/>
      <c r="I30" s="393"/>
      <c r="J30" s="393"/>
      <c r="K30" s="393"/>
      <c r="L30" s="393"/>
      <c r="M30" s="393"/>
      <c r="N30" s="393"/>
      <c r="O30" s="393">
        <f t="shared" si="0"/>
        <v>4662210.58</v>
      </c>
    </row>
    <row r="31" spans="1:15" ht="15" customHeight="1">
      <c r="A31" s="394" t="s">
        <v>819</v>
      </c>
      <c r="B31" s="394" t="s">
        <v>820</v>
      </c>
      <c r="C31" s="395">
        <v>9201</v>
      </c>
      <c r="D31" s="395">
        <v>9225.5</v>
      </c>
      <c r="E31" s="395">
        <v>8021.5</v>
      </c>
      <c r="F31" s="395">
        <v>7615</v>
      </c>
      <c r="G31" s="395"/>
      <c r="H31" s="395"/>
      <c r="I31" s="395"/>
      <c r="J31" s="395"/>
      <c r="K31" s="395"/>
      <c r="L31" s="395"/>
      <c r="M31" s="395"/>
      <c r="N31" s="395"/>
      <c r="O31" s="395">
        <f t="shared" si="0"/>
        <v>34063</v>
      </c>
    </row>
    <row r="32" spans="1:15" ht="15" customHeight="1">
      <c r="A32" s="390" t="s">
        <v>821</v>
      </c>
      <c r="B32" s="390" t="s">
        <v>822</v>
      </c>
      <c r="C32" s="393">
        <v>13534</v>
      </c>
      <c r="D32" s="393">
        <v>12830</v>
      </c>
      <c r="E32" s="393">
        <v>12040</v>
      </c>
      <c r="F32" s="393">
        <v>11665</v>
      </c>
      <c r="G32" s="393"/>
      <c r="H32" s="393"/>
      <c r="I32" s="393"/>
      <c r="J32" s="393"/>
      <c r="K32" s="393"/>
      <c r="L32" s="393"/>
      <c r="M32" s="393"/>
      <c r="N32" s="393"/>
      <c r="O32" s="393">
        <f t="shared" si="0"/>
        <v>50069</v>
      </c>
    </row>
    <row r="33" spans="1:15" ht="15" customHeight="1">
      <c r="A33" s="390" t="s">
        <v>823</v>
      </c>
      <c r="B33" s="390" t="s">
        <v>824</v>
      </c>
      <c r="C33" s="393">
        <v>138276</v>
      </c>
      <c r="D33" s="393">
        <v>147816</v>
      </c>
      <c r="E33" s="393">
        <v>85104</v>
      </c>
      <c r="F33" s="393">
        <v>75600</v>
      </c>
      <c r="G33" s="393"/>
      <c r="H33" s="393"/>
      <c r="I33" s="393"/>
      <c r="J33" s="393"/>
      <c r="K33" s="393"/>
      <c r="L33" s="393"/>
      <c r="M33" s="393"/>
      <c r="N33" s="393"/>
      <c r="O33" s="393">
        <f t="shared" si="0"/>
        <v>446796</v>
      </c>
    </row>
    <row r="34" spans="1:15" ht="15" customHeight="1">
      <c r="A34" s="394" t="s">
        <v>825</v>
      </c>
      <c r="B34" s="394" t="s">
        <v>826</v>
      </c>
      <c r="C34" s="395">
        <v>6660</v>
      </c>
      <c r="D34" s="395">
        <v>6660</v>
      </c>
      <c r="E34" s="395">
        <v>6590</v>
      </c>
      <c r="F34" s="395">
        <v>6500</v>
      </c>
      <c r="G34" s="395"/>
      <c r="H34" s="395"/>
      <c r="I34" s="395"/>
      <c r="J34" s="395"/>
      <c r="K34" s="395"/>
      <c r="L34" s="395"/>
      <c r="M34" s="395"/>
      <c r="N34" s="395"/>
      <c r="O34" s="395">
        <f t="shared" si="0"/>
        <v>26410</v>
      </c>
    </row>
    <row r="35" spans="1:15" ht="15" customHeight="1">
      <c r="A35" s="390" t="s">
        <v>827</v>
      </c>
      <c r="B35" s="390" t="s">
        <v>828</v>
      </c>
      <c r="C35" s="393">
        <v>27126.880000000001</v>
      </c>
      <c r="D35" s="393">
        <v>28445.71</v>
      </c>
      <c r="E35" s="393">
        <v>-6925.56</v>
      </c>
      <c r="F35" s="393">
        <v>58158.83</v>
      </c>
      <c r="G35" s="393"/>
      <c r="H35" s="393"/>
      <c r="I35" s="393"/>
      <c r="J35" s="393"/>
      <c r="K35" s="393"/>
      <c r="L35" s="393"/>
      <c r="M35" s="393"/>
      <c r="N35" s="393"/>
      <c r="O35" s="393">
        <f t="shared" si="0"/>
        <v>106805.86</v>
      </c>
    </row>
    <row r="36" spans="1:15" ht="15" customHeight="1">
      <c r="A36" s="390" t="s">
        <v>829</v>
      </c>
      <c r="B36" s="390" t="s">
        <v>830</v>
      </c>
      <c r="C36" s="393">
        <v>72464</v>
      </c>
      <c r="D36" s="393">
        <v>69668.600000000006</v>
      </c>
      <c r="E36" s="393">
        <v>80354.3</v>
      </c>
      <c r="F36" s="393">
        <v>74241.5</v>
      </c>
      <c r="G36" s="393"/>
      <c r="H36" s="393"/>
      <c r="I36" s="393"/>
      <c r="J36" s="393"/>
      <c r="K36" s="393"/>
      <c r="L36" s="393"/>
      <c r="M36" s="393"/>
      <c r="N36" s="393"/>
      <c r="O36" s="393">
        <f t="shared" si="0"/>
        <v>296728.40000000002</v>
      </c>
    </row>
    <row r="37" spans="1:15" ht="15" customHeight="1">
      <c r="A37" s="394" t="s">
        <v>831</v>
      </c>
      <c r="B37" s="394" t="s">
        <v>832</v>
      </c>
      <c r="C37" s="395">
        <v>229495</v>
      </c>
      <c r="D37" s="396"/>
      <c r="E37" s="395">
        <v>-89921.2</v>
      </c>
      <c r="F37" s="396"/>
      <c r="G37" s="396"/>
      <c r="H37" s="396"/>
      <c r="I37" s="396"/>
      <c r="J37" s="396"/>
      <c r="K37" s="396"/>
      <c r="L37" s="396"/>
      <c r="M37" s="396"/>
      <c r="N37" s="396"/>
      <c r="O37" s="395">
        <f t="shared" si="0"/>
        <v>139573.79999999999</v>
      </c>
    </row>
    <row r="38" spans="1:15" ht="15" customHeight="1">
      <c r="A38" s="390" t="s">
        <v>833</v>
      </c>
      <c r="B38" s="390" t="s">
        <v>834</v>
      </c>
      <c r="C38" s="393">
        <v>26007.279999999999</v>
      </c>
      <c r="D38" s="393">
        <v>22382.09</v>
      </c>
      <c r="E38" s="393">
        <v>20100.75</v>
      </c>
      <c r="F38" s="393">
        <v>12566.44</v>
      </c>
      <c r="G38" s="393"/>
      <c r="H38" s="393"/>
      <c r="I38" s="393"/>
      <c r="J38" s="393"/>
      <c r="K38" s="393"/>
      <c r="L38" s="393"/>
      <c r="M38" s="393"/>
      <c r="N38" s="393"/>
      <c r="O38" s="393">
        <f t="shared" si="0"/>
        <v>81056.56</v>
      </c>
    </row>
    <row r="39" spans="1:15" ht="15" customHeight="1">
      <c r="A39" s="394" t="s">
        <v>835</v>
      </c>
      <c r="B39" s="394" t="s">
        <v>836</v>
      </c>
      <c r="C39" s="395">
        <v>1876</v>
      </c>
      <c r="D39" s="395">
        <v>1300</v>
      </c>
      <c r="E39" s="395">
        <v>1300</v>
      </c>
      <c r="F39" s="395">
        <v>1335</v>
      </c>
      <c r="G39" s="395"/>
      <c r="H39" s="395"/>
      <c r="I39" s="395"/>
      <c r="J39" s="395"/>
      <c r="K39" s="395"/>
      <c r="L39" s="395"/>
      <c r="M39" s="395"/>
      <c r="N39" s="395"/>
      <c r="O39" s="395">
        <f t="shared" si="0"/>
        <v>5811</v>
      </c>
    </row>
    <row r="40" spans="1:15" ht="15" customHeight="1">
      <c r="A40" s="394" t="s">
        <v>837</v>
      </c>
      <c r="B40" s="394" t="s">
        <v>838</v>
      </c>
      <c r="C40" s="395">
        <v>158231.5</v>
      </c>
      <c r="D40" s="395">
        <v>155979</v>
      </c>
      <c r="E40" s="395">
        <v>-300528.5</v>
      </c>
      <c r="F40" s="395">
        <v>139621.5</v>
      </c>
      <c r="G40" s="395"/>
      <c r="H40" s="395"/>
      <c r="I40" s="395"/>
      <c r="J40" s="395"/>
      <c r="K40" s="395"/>
      <c r="L40" s="395"/>
      <c r="M40" s="395"/>
      <c r="N40" s="395"/>
      <c r="O40" s="395">
        <f t="shared" si="0"/>
        <v>153303.5</v>
      </c>
    </row>
    <row r="41" spans="1:15" ht="15" customHeight="1">
      <c r="A41" s="394" t="s">
        <v>839</v>
      </c>
      <c r="B41" s="394" t="s">
        <v>840</v>
      </c>
      <c r="C41" s="395">
        <v>218038.69</v>
      </c>
      <c r="D41" s="395">
        <v>221200</v>
      </c>
      <c r="E41" s="395">
        <v>223000.3</v>
      </c>
      <c r="F41" s="395">
        <v>217750.3</v>
      </c>
      <c r="G41" s="395"/>
      <c r="H41" s="395"/>
      <c r="I41" s="395"/>
      <c r="J41" s="395"/>
      <c r="K41" s="395"/>
      <c r="L41" s="395"/>
      <c r="M41" s="395"/>
      <c r="N41" s="395"/>
      <c r="O41" s="395">
        <f t="shared" si="0"/>
        <v>879989.29</v>
      </c>
    </row>
    <row r="42" spans="1:15" ht="15" customHeight="1">
      <c r="A42" s="394" t="s">
        <v>841</v>
      </c>
      <c r="B42" s="394" t="s">
        <v>842</v>
      </c>
      <c r="C42" s="395">
        <v>26915</v>
      </c>
      <c r="D42" s="395">
        <v>25661</v>
      </c>
      <c r="E42" s="395">
        <v>27118</v>
      </c>
      <c r="F42" s="395">
        <v>25538</v>
      </c>
      <c r="G42" s="395"/>
      <c r="H42" s="395"/>
      <c r="I42" s="395"/>
      <c r="J42" s="395"/>
      <c r="K42" s="395"/>
      <c r="L42" s="395"/>
      <c r="M42" s="395"/>
      <c r="N42" s="395"/>
      <c r="O42" s="395">
        <f t="shared" ref="O42:O65" si="1">SUM(C42:N42)</f>
        <v>105232</v>
      </c>
    </row>
    <row r="43" spans="1:15" ht="15" customHeight="1">
      <c r="A43" s="394" t="s">
        <v>843</v>
      </c>
      <c r="B43" s="394" t="s">
        <v>844</v>
      </c>
      <c r="C43" s="395">
        <v>38888</v>
      </c>
      <c r="D43" s="395">
        <v>30226</v>
      </c>
      <c r="E43" s="395">
        <v>34372.5</v>
      </c>
      <c r="F43" s="395">
        <v>30358.5</v>
      </c>
      <c r="G43" s="395"/>
      <c r="H43" s="395"/>
      <c r="I43" s="395"/>
      <c r="J43" s="395"/>
      <c r="K43" s="395"/>
      <c r="L43" s="395"/>
      <c r="M43" s="395"/>
      <c r="N43" s="395"/>
      <c r="O43" s="395">
        <f t="shared" si="1"/>
        <v>133845</v>
      </c>
    </row>
    <row r="44" spans="1:15" ht="15" customHeight="1">
      <c r="A44" s="394" t="s">
        <v>845</v>
      </c>
      <c r="B44" s="394" t="s">
        <v>846</v>
      </c>
      <c r="C44" s="395">
        <v>11975</v>
      </c>
      <c r="D44" s="395">
        <v>12442</v>
      </c>
      <c r="E44" s="395">
        <v>11647</v>
      </c>
      <c r="F44" s="395">
        <v>12019</v>
      </c>
      <c r="G44" s="395"/>
      <c r="H44" s="395"/>
      <c r="I44" s="395"/>
      <c r="J44" s="395"/>
      <c r="K44" s="395"/>
      <c r="L44" s="395"/>
      <c r="M44" s="395"/>
      <c r="N44" s="395"/>
      <c r="O44" s="395">
        <f t="shared" si="1"/>
        <v>48083</v>
      </c>
    </row>
    <row r="45" spans="1:15" ht="15" customHeight="1">
      <c r="A45" s="390" t="s">
        <v>847</v>
      </c>
      <c r="B45" s="390" t="s">
        <v>848</v>
      </c>
      <c r="C45" s="393">
        <v>-2332.5</v>
      </c>
      <c r="D45" s="393">
        <v>1675.7</v>
      </c>
      <c r="E45" s="393">
        <v>1422</v>
      </c>
      <c r="F45" s="393">
        <v>1239.7</v>
      </c>
      <c r="G45" s="393"/>
      <c r="H45" s="393"/>
      <c r="I45" s="393"/>
      <c r="J45" s="393"/>
      <c r="K45" s="393"/>
      <c r="L45" s="393"/>
      <c r="M45" s="393"/>
      <c r="N45" s="393"/>
      <c r="O45" s="393">
        <f t="shared" si="1"/>
        <v>2004.9</v>
      </c>
    </row>
    <row r="46" spans="1:15" ht="15" customHeight="1">
      <c r="A46" s="394" t="s">
        <v>849</v>
      </c>
      <c r="B46" s="394" t="s">
        <v>758</v>
      </c>
      <c r="C46" s="395">
        <v>79713.009999999995</v>
      </c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5">
        <f t="shared" si="1"/>
        <v>79713.009999999995</v>
      </c>
    </row>
    <row r="47" spans="1:15" ht="15" customHeight="1">
      <c r="A47" s="394" t="s">
        <v>850</v>
      </c>
      <c r="B47" s="394" t="s">
        <v>851</v>
      </c>
      <c r="C47" s="395">
        <v>147514.68</v>
      </c>
      <c r="D47" s="395">
        <v>142344.84</v>
      </c>
      <c r="E47" s="395">
        <v>157134.54</v>
      </c>
      <c r="F47" s="395">
        <v>61559.25</v>
      </c>
      <c r="G47" s="395"/>
      <c r="H47" s="395"/>
      <c r="I47" s="395"/>
      <c r="J47" s="395"/>
      <c r="K47" s="395"/>
      <c r="L47" s="395"/>
      <c r="M47" s="395"/>
      <c r="N47" s="395"/>
      <c r="O47" s="395">
        <f t="shared" si="1"/>
        <v>508553.31000000006</v>
      </c>
    </row>
    <row r="48" spans="1:15" ht="15" customHeight="1">
      <c r="A48" s="394" t="s">
        <v>852</v>
      </c>
      <c r="B48" s="394" t="s">
        <v>853</v>
      </c>
      <c r="C48" s="395">
        <v>6203.2</v>
      </c>
      <c r="D48" s="395">
        <v>4529.6000000000004</v>
      </c>
      <c r="E48" s="395">
        <v>4201.6000000000004</v>
      </c>
      <c r="F48" s="396"/>
      <c r="G48" s="396"/>
      <c r="H48" s="396"/>
      <c r="I48" s="396"/>
      <c r="J48" s="396"/>
      <c r="K48" s="396"/>
      <c r="L48" s="396"/>
      <c r="M48" s="396"/>
      <c r="N48" s="396"/>
      <c r="O48" s="395">
        <f t="shared" si="1"/>
        <v>14934.4</v>
      </c>
    </row>
    <row r="49" spans="1:15" ht="15" customHeight="1">
      <c r="A49" s="390" t="s">
        <v>854</v>
      </c>
      <c r="B49" s="390" t="s">
        <v>855</v>
      </c>
      <c r="C49" s="393">
        <v>70522</v>
      </c>
      <c r="D49" s="393">
        <v>74582</v>
      </c>
      <c r="E49" s="393">
        <v>78494</v>
      </c>
      <c r="F49" s="393">
        <v>73789.5</v>
      </c>
      <c r="G49" s="393"/>
      <c r="H49" s="393"/>
      <c r="I49" s="393"/>
      <c r="J49" s="393"/>
      <c r="K49" s="393"/>
      <c r="L49" s="393"/>
      <c r="M49" s="393"/>
      <c r="N49" s="393"/>
      <c r="O49" s="393">
        <f t="shared" si="1"/>
        <v>297387.5</v>
      </c>
    </row>
    <row r="50" spans="1:15" ht="15" customHeight="1">
      <c r="A50" s="394" t="s">
        <v>856</v>
      </c>
      <c r="B50" s="394" t="s">
        <v>857</v>
      </c>
      <c r="C50" s="395">
        <v>505661.44</v>
      </c>
      <c r="D50" s="395">
        <v>505062.05</v>
      </c>
      <c r="E50" s="395">
        <v>524568.49</v>
      </c>
      <c r="F50" s="395">
        <v>563628.87</v>
      </c>
      <c r="G50" s="395"/>
      <c r="H50" s="395"/>
      <c r="I50" s="395"/>
      <c r="J50" s="395"/>
      <c r="K50" s="395"/>
      <c r="L50" s="395"/>
      <c r="M50" s="395"/>
      <c r="N50" s="395"/>
      <c r="O50" s="395">
        <f t="shared" si="1"/>
        <v>2098920.85</v>
      </c>
    </row>
    <row r="51" spans="1:15" ht="15" customHeight="1">
      <c r="A51" s="390" t="s">
        <v>858</v>
      </c>
      <c r="B51" s="390" t="s">
        <v>859</v>
      </c>
      <c r="C51" s="393">
        <v>30759.75</v>
      </c>
      <c r="D51" s="392"/>
      <c r="E51" s="392"/>
      <c r="F51" s="393">
        <v>197468.43</v>
      </c>
      <c r="G51" s="393"/>
      <c r="H51" s="393"/>
      <c r="I51" s="393"/>
      <c r="J51" s="393"/>
      <c r="K51" s="393"/>
      <c r="L51" s="393"/>
      <c r="M51" s="393"/>
      <c r="N51" s="393"/>
      <c r="O51" s="393">
        <f t="shared" si="1"/>
        <v>228228.18</v>
      </c>
    </row>
    <row r="52" spans="1:15" ht="15" customHeight="1">
      <c r="A52" s="394" t="s">
        <v>860</v>
      </c>
      <c r="B52" s="394" t="s">
        <v>861</v>
      </c>
      <c r="C52" s="395">
        <v>14892</v>
      </c>
      <c r="D52" s="395">
        <v>12711</v>
      </c>
      <c r="E52" s="395">
        <v>13957</v>
      </c>
      <c r="F52" s="395">
        <v>14081.5</v>
      </c>
      <c r="G52" s="395"/>
      <c r="H52" s="395"/>
      <c r="I52" s="395"/>
      <c r="J52" s="395"/>
      <c r="K52" s="395"/>
      <c r="L52" s="395"/>
      <c r="M52" s="395"/>
      <c r="N52" s="395"/>
      <c r="O52" s="395">
        <f t="shared" si="1"/>
        <v>55641.5</v>
      </c>
    </row>
    <row r="53" spans="1:15" ht="15" customHeight="1">
      <c r="A53" s="390" t="s">
        <v>862</v>
      </c>
      <c r="B53" s="390" t="s">
        <v>863</v>
      </c>
      <c r="C53" s="393">
        <v>3586</v>
      </c>
      <c r="D53" s="393">
        <v>8531.5</v>
      </c>
      <c r="E53" s="393">
        <v>4084.5</v>
      </c>
      <c r="F53" s="393">
        <v>3269.5</v>
      </c>
      <c r="G53" s="393"/>
      <c r="H53" s="393"/>
      <c r="I53" s="393"/>
      <c r="J53" s="393"/>
      <c r="K53" s="393"/>
      <c r="L53" s="393"/>
      <c r="M53" s="393"/>
      <c r="N53" s="393"/>
      <c r="O53" s="393">
        <f t="shared" si="1"/>
        <v>19471.5</v>
      </c>
    </row>
    <row r="54" spans="1:15" ht="15" customHeight="1">
      <c r="A54" s="394" t="s">
        <v>864</v>
      </c>
      <c r="B54" s="394" t="s">
        <v>865</v>
      </c>
      <c r="C54" s="395">
        <v>104736</v>
      </c>
      <c r="D54" s="395">
        <v>126550</v>
      </c>
      <c r="E54" s="395">
        <v>93790</v>
      </c>
      <c r="F54" s="395">
        <v>60285</v>
      </c>
      <c r="G54" s="395"/>
      <c r="H54" s="395"/>
      <c r="I54" s="395"/>
      <c r="J54" s="395"/>
      <c r="K54" s="395"/>
      <c r="L54" s="395"/>
      <c r="M54" s="395"/>
      <c r="N54" s="395"/>
      <c r="O54" s="395">
        <f t="shared" si="1"/>
        <v>385361</v>
      </c>
    </row>
    <row r="55" spans="1:15" ht="15" customHeight="1">
      <c r="A55" s="394" t="s">
        <v>866</v>
      </c>
      <c r="B55" s="394" t="s">
        <v>867</v>
      </c>
      <c r="C55" s="395">
        <v>178187.87</v>
      </c>
      <c r="D55" s="395">
        <v>224178.24</v>
      </c>
      <c r="E55" s="395">
        <v>223979.2</v>
      </c>
      <c r="F55" s="395">
        <v>110963.28</v>
      </c>
      <c r="G55" s="395"/>
      <c r="H55" s="395"/>
      <c r="I55" s="395"/>
      <c r="J55" s="395"/>
      <c r="K55" s="395"/>
      <c r="L55" s="395"/>
      <c r="M55" s="395"/>
      <c r="N55" s="395"/>
      <c r="O55" s="395">
        <f t="shared" si="1"/>
        <v>737308.59000000008</v>
      </c>
    </row>
    <row r="56" spans="1:15" ht="15" customHeight="1">
      <c r="A56" s="390" t="s">
        <v>868</v>
      </c>
      <c r="B56" s="390" t="s">
        <v>869</v>
      </c>
      <c r="C56" s="393">
        <v>7066.79</v>
      </c>
      <c r="D56" s="393">
        <v>4284.75</v>
      </c>
      <c r="E56" s="392"/>
      <c r="F56" s="392"/>
      <c r="G56" s="392"/>
      <c r="H56" s="392"/>
      <c r="I56" s="392"/>
      <c r="J56" s="392"/>
      <c r="K56" s="392"/>
      <c r="L56" s="392"/>
      <c r="M56" s="392"/>
      <c r="N56" s="392"/>
      <c r="O56" s="393">
        <f t="shared" si="1"/>
        <v>11351.54</v>
      </c>
    </row>
    <row r="57" spans="1:15" ht="15" customHeight="1">
      <c r="A57" s="394" t="s">
        <v>870</v>
      </c>
      <c r="B57" s="394" t="s">
        <v>793</v>
      </c>
      <c r="C57" s="395">
        <v>118679.16</v>
      </c>
      <c r="D57" s="395">
        <v>51584</v>
      </c>
      <c r="E57" s="395">
        <v>155744</v>
      </c>
      <c r="F57" s="395">
        <v>13392</v>
      </c>
      <c r="G57" s="395"/>
      <c r="H57" s="395"/>
      <c r="I57" s="395"/>
      <c r="J57" s="395"/>
      <c r="K57" s="395"/>
      <c r="L57" s="395"/>
      <c r="M57" s="395"/>
      <c r="N57" s="395"/>
      <c r="O57" s="395">
        <f t="shared" si="1"/>
        <v>339399.16000000003</v>
      </c>
    </row>
    <row r="58" spans="1:15" ht="15" customHeight="1">
      <c r="A58" s="390" t="s">
        <v>871</v>
      </c>
      <c r="B58" s="390" t="s">
        <v>872</v>
      </c>
      <c r="C58" s="393">
        <v>11280</v>
      </c>
      <c r="D58" s="393">
        <v>350</v>
      </c>
      <c r="E58" s="393">
        <v>350</v>
      </c>
      <c r="F58" s="393">
        <v>39964.43</v>
      </c>
      <c r="G58" s="393"/>
      <c r="H58" s="393"/>
      <c r="I58" s="393"/>
      <c r="J58" s="393"/>
      <c r="K58" s="393"/>
      <c r="L58" s="393"/>
      <c r="M58" s="393"/>
      <c r="N58" s="393"/>
      <c r="O58" s="393">
        <f t="shared" si="1"/>
        <v>51944.43</v>
      </c>
    </row>
    <row r="59" spans="1:15" ht="15" customHeight="1">
      <c r="A59" s="394" t="s">
        <v>873</v>
      </c>
      <c r="B59" s="394" t="s">
        <v>874</v>
      </c>
      <c r="C59" s="395">
        <v>900</v>
      </c>
      <c r="D59" s="395">
        <v>900</v>
      </c>
      <c r="E59" s="395">
        <v>950</v>
      </c>
      <c r="F59" s="395">
        <v>2110</v>
      </c>
      <c r="G59" s="395"/>
      <c r="H59" s="395"/>
      <c r="I59" s="395"/>
      <c r="J59" s="395"/>
      <c r="K59" s="395"/>
      <c r="L59" s="395"/>
      <c r="M59" s="395"/>
      <c r="N59" s="395"/>
      <c r="O59" s="395">
        <f t="shared" si="1"/>
        <v>4860</v>
      </c>
    </row>
    <row r="60" spans="1:15" ht="15" customHeight="1">
      <c r="A60" s="390" t="s">
        <v>875</v>
      </c>
      <c r="B60" s="390" t="s">
        <v>876</v>
      </c>
      <c r="C60" s="393">
        <v>40822.800000000003</v>
      </c>
      <c r="D60" s="393">
        <v>38092.400000000001</v>
      </c>
      <c r="E60" s="393">
        <v>45020.800000000003</v>
      </c>
      <c r="F60" s="393">
        <v>45141</v>
      </c>
      <c r="G60" s="393"/>
      <c r="H60" s="393"/>
      <c r="I60" s="393"/>
      <c r="J60" s="393"/>
      <c r="K60" s="393"/>
      <c r="L60" s="393"/>
      <c r="M60" s="393"/>
      <c r="N60" s="393"/>
      <c r="O60" s="393">
        <f t="shared" si="1"/>
        <v>169077</v>
      </c>
    </row>
    <row r="61" spans="1:15" ht="15" customHeight="1">
      <c r="A61" s="390" t="s">
        <v>877</v>
      </c>
      <c r="B61" s="390" t="s">
        <v>878</v>
      </c>
      <c r="C61" s="393">
        <v>7728</v>
      </c>
      <c r="D61" s="393">
        <v>17300</v>
      </c>
      <c r="E61" s="393">
        <v>15920</v>
      </c>
      <c r="F61" s="393">
        <v>16070</v>
      </c>
      <c r="G61" s="393"/>
      <c r="H61" s="393"/>
      <c r="I61" s="393"/>
      <c r="J61" s="393"/>
      <c r="K61" s="393"/>
      <c r="L61" s="393"/>
      <c r="M61" s="393"/>
      <c r="N61" s="393"/>
      <c r="O61" s="393">
        <f t="shared" si="1"/>
        <v>57018</v>
      </c>
    </row>
    <row r="62" spans="1:15" ht="15" customHeight="1">
      <c r="A62" s="390" t="s">
        <v>879</v>
      </c>
      <c r="B62" s="390" t="s">
        <v>880</v>
      </c>
      <c r="C62" s="393">
        <v>18587</v>
      </c>
      <c r="D62" s="393">
        <v>7798.6</v>
      </c>
      <c r="E62" s="393">
        <v>12896</v>
      </c>
      <c r="F62" s="393">
        <v>11589</v>
      </c>
      <c r="G62" s="393"/>
      <c r="H62" s="393"/>
      <c r="I62" s="393"/>
      <c r="J62" s="393"/>
      <c r="K62" s="393"/>
      <c r="L62" s="393"/>
      <c r="M62" s="393"/>
      <c r="N62" s="393"/>
      <c r="O62" s="393">
        <f t="shared" si="1"/>
        <v>50870.6</v>
      </c>
    </row>
    <row r="63" spans="1:15" ht="15" customHeight="1">
      <c r="A63" s="390" t="s">
        <v>881</v>
      </c>
      <c r="B63" s="390" t="s">
        <v>882</v>
      </c>
      <c r="C63" s="392"/>
      <c r="D63" s="393">
        <v>2510</v>
      </c>
      <c r="E63" s="393">
        <v>2500</v>
      </c>
      <c r="F63" s="393">
        <v>2500</v>
      </c>
      <c r="G63" s="393"/>
      <c r="H63" s="393"/>
      <c r="I63" s="393"/>
      <c r="J63" s="393"/>
      <c r="K63" s="393"/>
      <c r="L63" s="393"/>
      <c r="M63" s="393"/>
      <c r="N63" s="393"/>
      <c r="O63" s="393">
        <f t="shared" si="1"/>
        <v>7510</v>
      </c>
    </row>
    <row r="64" spans="1:15" ht="15" customHeight="1">
      <c r="A64" s="390" t="s">
        <v>883</v>
      </c>
      <c r="B64" s="390" t="s">
        <v>884</v>
      </c>
      <c r="C64" s="392"/>
      <c r="D64" s="392"/>
      <c r="E64" s="393">
        <v>442500</v>
      </c>
      <c r="F64" s="392"/>
      <c r="G64" s="392"/>
      <c r="H64" s="392"/>
      <c r="I64" s="392"/>
      <c r="J64" s="392"/>
      <c r="K64" s="392"/>
      <c r="L64" s="392"/>
      <c r="M64" s="392"/>
      <c r="N64" s="392"/>
      <c r="O64" s="393">
        <f t="shared" si="1"/>
        <v>442500</v>
      </c>
    </row>
    <row r="65" spans="1:15" ht="15" customHeight="1">
      <c r="A65" s="390" t="s">
        <v>885</v>
      </c>
      <c r="B65" s="390" t="s">
        <v>886</v>
      </c>
      <c r="C65" s="392"/>
      <c r="D65" s="392"/>
      <c r="E65" s="392"/>
      <c r="F65" s="393">
        <v>26811</v>
      </c>
      <c r="G65" s="393"/>
      <c r="H65" s="393"/>
      <c r="I65" s="393"/>
      <c r="J65" s="393"/>
      <c r="K65" s="393"/>
      <c r="L65" s="393"/>
      <c r="M65" s="393"/>
      <c r="N65" s="393"/>
      <c r="O65" s="393">
        <f t="shared" si="1"/>
        <v>26811</v>
      </c>
    </row>
    <row r="66" spans="1:15" ht="15" customHeight="1">
      <c r="A66" s="397"/>
      <c r="B66" s="397"/>
      <c r="C66" s="398"/>
      <c r="D66" s="398"/>
      <c r="E66" s="398"/>
      <c r="F66" s="398"/>
      <c r="G66" s="398"/>
      <c r="H66" s="398"/>
      <c r="I66" s="398"/>
      <c r="J66" s="398"/>
      <c r="K66" s="398"/>
      <c r="L66" s="398"/>
      <c r="M66" s="398"/>
      <c r="N66" s="398"/>
      <c r="O66" s="398"/>
    </row>
    <row r="67" spans="1:15" ht="15" customHeight="1">
      <c r="A67" s="397"/>
      <c r="B67" s="397"/>
      <c r="C67" s="398"/>
      <c r="D67" s="398"/>
      <c r="E67" s="398"/>
      <c r="F67" s="398"/>
      <c r="G67" s="398"/>
      <c r="H67" s="398"/>
      <c r="I67" s="398"/>
      <c r="J67" s="398"/>
      <c r="K67" s="398"/>
      <c r="L67" s="398"/>
      <c r="M67" s="398"/>
      <c r="N67" s="398"/>
      <c r="O67" s="398"/>
    </row>
    <row r="68" spans="1:15" ht="15" customHeight="1">
      <c r="A68" s="399"/>
      <c r="B68" s="400" t="s">
        <v>887</v>
      </c>
      <c r="C68" s="401">
        <f t="shared" ref="C68:O68" si="2">SUM(C10:C67)</f>
        <v>8115849.3500000015</v>
      </c>
      <c r="D68" s="401">
        <f t="shared" si="2"/>
        <v>7432397.9499999983</v>
      </c>
      <c r="E68" s="401">
        <f t="shared" si="2"/>
        <v>7272375.1800000006</v>
      </c>
      <c r="F68" s="401">
        <f t="shared" si="2"/>
        <v>6818737.4100000001</v>
      </c>
      <c r="G68" s="401">
        <f t="shared" si="2"/>
        <v>0</v>
      </c>
      <c r="H68" s="401">
        <f t="shared" si="2"/>
        <v>0</v>
      </c>
      <c r="I68" s="401">
        <f t="shared" si="2"/>
        <v>0</v>
      </c>
      <c r="J68" s="401">
        <f t="shared" si="2"/>
        <v>0</v>
      </c>
      <c r="K68" s="401">
        <f t="shared" si="2"/>
        <v>0</v>
      </c>
      <c r="L68" s="401">
        <f t="shared" si="2"/>
        <v>0</v>
      </c>
      <c r="M68" s="401">
        <f t="shared" si="2"/>
        <v>0</v>
      </c>
      <c r="N68" s="401">
        <f t="shared" si="2"/>
        <v>0</v>
      </c>
      <c r="O68" s="401">
        <f t="shared" si="2"/>
        <v>29639359.889999993</v>
      </c>
    </row>
  </sheetData>
  <mergeCells count="3">
    <mergeCell ref="A1:O1"/>
    <mergeCell ref="A2:O2"/>
    <mergeCell ref="A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P28"/>
  <sheetViews>
    <sheetView tabSelected="1" zoomScale="110" zoomScaleNormal="110" workbookViewId="0">
      <selection activeCell="P5" sqref="P5"/>
    </sheetView>
  </sheetViews>
  <sheetFormatPr defaultColWidth="8.7109375" defaultRowHeight="15"/>
  <cols>
    <col min="1" max="1" width="11.5703125" customWidth="1"/>
    <col min="2" max="2" width="35.28515625" customWidth="1"/>
    <col min="3" max="3" width="6.28515625" customWidth="1"/>
    <col min="4" max="16" width="13.28515625" customWidth="1"/>
  </cols>
  <sheetData>
    <row r="1" spans="1:16" ht="28.5" customHeight="1">
      <c r="B1" s="487"/>
      <c r="C1" s="487"/>
      <c r="D1" s="402">
        <v>46023</v>
      </c>
      <c r="E1" s="402">
        <v>46054</v>
      </c>
      <c r="F1" s="402">
        <v>46082</v>
      </c>
      <c r="G1" s="402">
        <v>46113</v>
      </c>
      <c r="H1" s="402">
        <v>46143</v>
      </c>
      <c r="I1" s="402">
        <v>46174</v>
      </c>
      <c r="J1" s="402">
        <v>46204</v>
      </c>
      <c r="K1" s="402">
        <v>46235</v>
      </c>
      <c r="L1" s="402">
        <v>46266</v>
      </c>
      <c r="M1" s="402">
        <v>46296</v>
      </c>
      <c r="N1" s="402">
        <v>46327</v>
      </c>
      <c r="O1" s="402">
        <v>46357</v>
      </c>
      <c r="P1" s="403" t="s">
        <v>888</v>
      </c>
    </row>
    <row r="2" spans="1:16" ht="15" customHeight="1">
      <c r="A2" s="404" t="s">
        <v>889</v>
      </c>
      <c r="B2" s="124" t="s">
        <v>890</v>
      </c>
      <c r="C2" s="124"/>
      <c r="D2" s="405">
        <f>'WH Revenue Data Input'!C7</f>
        <v>8115849.3499999996</v>
      </c>
      <c r="E2" s="405">
        <f>'WH Revenue Data Input'!D7</f>
        <v>7432397.9500000002</v>
      </c>
      <c r="F2" s="405">
        <f>'WH Revenue Data Input'!E7</f>
        <v>7272375.1799999997</v>
      </c>
      <c r="G2" s="405">
        <f>'WH Revenue Data Input'!F7</f>
        <v>6818737.4100000001</v>
      </c>
      <c r="H2" s="406">
        <f>G2</f>
        <v>6818737.4100000001</v>
      </c>
      <c r="I2" s="406">
        <f>G2</f>
        <v>6818737.4100000001</v>
      </c>
      <c r="J2" s="406">
        <f>G2</f>
        <v>6818737.4100000001</v>
      </c>
      <c r="K2" s="406">
        <f>G2</f>
        <v>6818737.4100000001</v>
      </c>
      <c r="L2" s="406">
        <f>G2</f>
        <v>6818737.4100000001</v>
      </c>
      <c r="M2" s="406">
        <f>G2</f>
        <v>6818737.4100000001</v>
      </c>
      <c r="N2" s="406">
        <f>G2</f>
        <v>6818737.4100000001</v>
      </c>
      <c r="O2" s="406">
        <f>G2</f>
        <v>6818737.4100000001</v>
      </c>
      <c r="P2" s="407">
        <f>SUM(D2:O2)</f>
        <v>84189259.169999972</v>
      </c>
    </row>
    <row r="3" spans="1:16" ht="15" customHeight="1">
      <c r="B3" s="124" t="s">
        <v>891</v>
      </c>
      <c r="C3" s="124"/>
      <c r="D3" s="124"/>
      <c r="E3" s="124"/>
      <c r="F3" s="124"/>
      <c r="G3" s="124"/>
      <c r="H3" s="408"/>
      <c r="I3" s="408"/>
      <c r="J3" s="408"/>
      <c r="K3" s="408"/>
      <c r="L3" s="408"/>
      <c r="M3" s="408"/>
      <c r="N3" s="408"/>
      <c r="O3" s="408"/>
      <c r="P3" s="408"/>
    </row>
    <row r="4" spans="1:16" ht="15" customHeight="1">
      <c r="B4" s="124" t="s">
        <v>892</v>
      </c>
      <c r="C4" s="124"/>
      <c r="D4" s="488">
        <v>106715</v>
      </c>
      <c r="E4" s="488">
        <v>108008.6</v>
      </c>
      <c r="F4" s="488">
        <v>554216</v>
      </c>
      <c r="G4" s="488">
        <v>137370</v>
      </c>
      <c r="H4" s="408"/>
      <c r="I4" s="408"/>
      <c r="J4" s="408"/>
      <c r="K4" s="408"/>
      <c r="L4" s="408"/>
      <c r="M4" s="408"/>
      <c r="N4" s="408"/>
      <c r="O4" s="408"/>
      <c r="P4" s="489">
        <f>SUM(D4:O4)</f>
        <v>906309.6</v>
      </c>
    </row>
    <row r="5" spans="1:16" ht="22.5" customHeight="1">
      <c r="B5" s="409" t="s">
        <v>888</v>
      </c>
      <c r="C5" s="409"/>
      <c r="D5" s="410">
        <f t="shared" ref="D5:P5" si="0">SUM(D2:D4)</f>
        <v>8222564.3499999996</v>
      </c>
      <c r="E5" s="410">
        <f t="shared" si="0"/>
        <v>7540406.5499999998</v>
      </c>
      <c r="F5" s="410">
        <f t="shared" si="0"/>
        <v>7826591.1799999997</v>
      </c>
      <c r="G5" s="410">
        <f t="shared" si="0"/>
        <v>6956107.4100000001</v>
      </c>
      <c r="H5" s="410">
        <f t="shared" si="0"/>
        <v>6818737.4100000001</v>
      </c>
      <c r="I5" s="410">
        <f t="shared" si="0"/>
        <v>6818737.4100000001</v>
      </c>
      <c r="J5" s="410">
        <f t="shared" si="0"/>
        <v>6818737.4100000001</v>
      </c>
      <c r="K5" s="410">
        <f t="shared" si="0"/>
        <v>6818737.4100000001</v>
      </c>
      <c r="L5" s="410">
        <f t="shared" si="0"/>
        <v>6818737.4100000001</v>
      </c>
      <c r="M5" s="410">
        <f t="shared" si="0"/>
        <v>6818737.4100000001</v>
      </c>
      <c r="N5" s="410">
        <f t="shared" si="0"/>
        <v>6818737.4100000001</v>
      </c>
      <c r="O5" s="410">
        <f t="shared" si="0"/>
        <v>6818737.4100000001</v>
      </c>
      <c r="P5" s="410">
        <f>P2</f>
        <v>84189259.169999972</v>
      </c>
    </row>
    <row r="6" spans="1:16" ht="15" customHeight="1">
      <c r="A6" s="411" t="s">
        <v>893</v>
      </c>
      <c r="B6" s="412" t="s">
        <v>17</v>
      </c>
      <c r="C6" s="413">
        <v>0.75</v>
      </c>
      <c r="D6" s="414"/>
      <c r="E6" s="414"/>
      <c r="F6" s="414"/>
      <c r="G6" s="414"/>
      <c r="H6" s="415">
        <f>'Pipeline Report'!L154</f>
        <v>60500</v>
      </c>
      <c r="I6" s="415">
        <f>'Pipeline Report'!M154</f>
        <v>223300</v>
      </c>
      <c r="J6" s="415">
        <f>'Pipeline Report'!N154</f>
        <v>294133.33333333331</v>
      </c>
      <c r="K6" s="415">
        <f>'Pipeline Report'!O154</f>
        <v>294133.33333333331</v>
      </c>
      <c r="L6" s="415">
        <f>'Pipeline Report'!P154</f>
        <v>294133.33333333331</v>
      </c>
      <c r="M6" s="415">
        <f>'Pipeline Report'!Q154</f>
        <v>294133.33333333331</v>
      </c>
      <c r="N6" s="415">
        <f>'Pipeline Report'!R154</f>
        <v>294133.33333333331</v>
      </c>
      <c r="O6" s="415">
        <f>'Pipeline Report'!S154</f>
        <v>294133.33333333331</v>
      </c>
      <c r="P6" s="415">
        <f>'Pipeline Report'!T154</f>
        <v>2048599.9999999995</v>
      </c>
    </row>
    <row r="7" spans="1:16" ht="15" customHeight="1">
      <c r="B7" s="412" t="s">
        <v>16</v>
      </c>
      <c r="C7" s="413">
        <v>0.9</v>
      </c>
      <c r="D7" s="414"/>
      <c r="E7" s="414"/>
      <c r="F7" s="414"/>
      <c r="G7" s="414"/>
      <c r="H7" s="415">
        <f>'Pipeline Report'!L155</f>
        <v>165000</v>
      </c>
      <c r="I7" s="415">
        <f>'Pipeline Report'!M155</f>
        <v>365000</v>
      </c>
      <c r="J7" s="415">
        <f>'Pipeline Report'!N155</f>
        <v>365000</v>
      </c>
      <c r="K7" s="415">
        <f>'Pipeline Report'!O155</f>
        <v>365000</v>
      </c>
      <c r="L7" s="415">
        <f>'Pipeline Report'!P155</f>
        <v>365000</v>
      </c>
      <c r="M7" s="415">
        <f>'Pipeline Report'!Q155</f>
        <v>365000</v>
      </c>
      <c r="N7" s="415">
        <f>'Pipeline Report'!R155</f>
        <v>365000</v>
      </c>
      <c r="O7" s="415">
        <f>'Pipeline Report'!S155</f>
        <v>365000</v>
      </c>
      <c r="P7" s="415">
        <f>'Pipeline Report'!T155</f>
        <v>2720000</v>
      </c>
    </row>
    <row r="8" spans="1:16" ht="15" customHeight="1">
      <c r="B8" s="412" t="s">
        <v>21</v>
      </c>
      <c r="C8" s="413">
        <v>1</v>
      </c>
      <c r="D8" s="414"/>
      <c r="E8" s="414"/>
      <c r="F8" s="414"/>
      <c r="G8" s="414"/>
      <c r="H8" s="415">
        <f>'Pipeline Report'!L156</f>
        <v>482216.66666666669</v>
      </c>
      <c r="I8" s="415">
        <f>'Pipeline Report'!M156</f>
        <v>482216.66666666669</v>
      </c>
      <c r="J8" s="415">
        <f>'Pipeline Report'!N156</f>
        <v>482216.66666666669</v>
      </c>
      <c r="K8" s="415">
        <f>'Pipeline Report'!O156</f>
        <v>482216.66666666669</v>
      </c>
      <c r="L8" s="415">
        <f>'Pipeline Report'!P156</f>
        <v>482216.66666666669</v>
      </c>
      <c r="M8" s="415">
        <f>'Pipeline Report'!Q156</f>
        <v>482216.66666666669</v>
      </c>
      <c r="N8" s="415">
        <f>'Pipeline Report'!R156</f>
        <v>482216.66666666669</v>
      </c>
      <c r="O8" s="415">
        <f>'Pipeline Report'!S156</f>
        <v>482216.66666666669</v>
      </c>
      <c r="P8" s="415">
        <f>'Pipeline Report'!T156</f>
        <v>3857733.333333333</v>
      </c>
    </row>
    <row r="9" spans="1:16" ht="22.5" customHeight="1">
      <c r="B9" s="409" t="s">
        <v>888</v>
      </c>
      <c r="C9" s="409"/>
      <c r="D9" s="416">
        <f t="shared" ref="D9:P9" si="1">SUM(D5:D8)</f>
        <v>8222564.3499999996</v>
      </c>
      <c r="E9" s="416">
        <f t="shared" si="1"/>
        <v>7540406.5499999998</v>
      </c>
      <c r="F9" s="416">
        <f t="shared" si="1"/>
        <v>7826591.1799999997</v>
      </c>
      <c r="G9" s="416">
        <f t="shared" si="1"/>
        <v>6956107.4100000001</v>
      </c>
      <c r="H9" s="416">
        <f t="shared" si="1"/>
        <v>7526454.0766666671</v>
      </c>
      <c r="I9" s="416">
        <f t="shared" si="1"/>
        <v>7889254.0766666671</v>
      </c>
      <c r="J9" s="416">
        <f t="shared" si="1"/>
        <v>7960087.4100000001</v>
      </c>
      <c r="K9" s="416">
        <f t="shared" si="1"/>
        <v>7960087.4100000001</v>
      </c>
      <c r="L9" s="416">
        <f t="shared" si="1"/>
        <v>7960087.4100000001</v>
      </c>
      <c r="M9" s="416">
        <f t="shared" si="1"/>
        <v>7960087.4100000001</v>
      </c>
      <c r="N9" s="416">
        <f t="shared" si="1"/>
        <v>7960087.4100000001</v>
      </c>
      <c r="O9" s="416">
        <f t="shared" si="1"/>
        <v>7960087.4100000001</v>
      </c>
      <c r="P9" s="416">
        <f t="shared" si="1"/>
        <v>92815592.5033333</v>
      </c>
    </row>
    <row r="10" spans="1:16" ht="15" customHeight="1">
      <c r="B10" s="124" t="s">
        <v>894</v>
      </c>
      <c r="C10" s="124"/>
      <c r="D10" s="415">
        <f>'Revenue Data Input'!T6</f>
        <v>7804324.3300000001</v>
      </c>
      <c r="E10" s="415">
        <f>'Revenue Data Input'!U6</f>
        <v>7991024.3399999999</v>
      </c>
      <c r="F10" s="415">
        <f>'Revenue Data Input'!V6</f>
        <v>8136274.3399999999</v>
      </c>
      <c r="G10" s="415">
        <f>'Revenue Data Input'!W6</f>
        <v>8557831</v>
      </c>
      <c r="H10" s="415">
        <f>'Revenue Data Input'!X6</f>
        <v>8554331</v>
      </c>
      <c r="I10" s="406">
        <f>'Revenue Data Input'!Y6</f>
        <v>8719831</v>
      </c>
      <c r="J10" s="406">
        <f>'Revenue Data Input'!Z6</f>
        <v>9239831</v>
      </c>
      <c r="K10" s="406">
        <f>'Revenue Data Input'!AA6</f>
        <v>9133831</v>
      </c>
      <c r="L10" s="406">
        <f>'Revenue Data Input'!AB6</f>
        <v>9193420.5299999993</v>
      </c>
      <c r="M10" s="406">
        <f>'Revenue Data Input'!AC6</f>
        <v>9466824.3399999999</v>
      </c>
      <c r="N10" s="406">
        <f>'Revenue Data Input'!AD6</f>
        <v>9544824.3399999999</v>
      </c>
      <c r="O10" s="406">
        <f>'Revenue Data Input'!AE6</f>
        <v>9634824.3399999999</v>
      </c>
      <c r="P10" s="406">
        <f>SUM(D10:O10)</f>
        <v>105977171.56</v>
      </c>
    </row>
    <row r="11" spans="1:16" ht="26.25" customHeight="1">
      <c r="B11" s="125" t="s">
        <v>895</v>
      </c>
      <c r="C11" s="124"/>
      <c r="D11" s="417">
        <f t="shared" ref="D11:O11" si="2">D9-D10</f>
        <v>418240.01999999955</v>
      </c>
      <c r="E11" s="417">
        <f t="shared" si="2"/>
        <v>-450617.79000000004</v>
      </c>
      <c r="F11" s="417">
        <f t="shared" si="2"/>
        <v>-309683.16000000015</v>
      </c>
      <c r="G11" s="417">
        <f t="shared" si="2"/>
        <v>-1601723.5899999999</v>
      </c>
      <c r="H11" s="417">
        <f t="shared" si="2"/>
        <v>-1027876.9233333329</v>
      </c>
      <c r="I11" s="417">
        <f t="shared" si="2"/>
        <v>-830576.92333333287</v>
      </c>
      <c r="J11" s="417">
        <f t="shared" si="2"/>
        <v>-1279743.5899999999</v>
      </c>
      <c r="K11" s="417">
        <f t="shared" si="2"/>
        <v>-1173743.5899999999</v>
      </c>
      <c r="L11" s="417">
        <f t="shared" si="2"/>
        <v>-1233333.1199999992</v>
      </c>
      <c r="M11" s="417">
        <f t="shared" si="2"/>
        <v>-1506736.9299999997</v>
      </c>
      <c r="N11" s="417">
        <f t="shared" si="2"/>
        <v>-1584736.9299999997</v>
      </c>
      <c r="O11" s="417">
        <f t="shared" si="2"/>
        <v>-1674736.9299999997</v>
      </c>
      <c r="P11" s="417">
        <f>SUM(D11:O11)</f>
        <v>-12255269.456666663</v>
      </c>
    </row>
    <row r="12" spans="1:16" ht="15" customHeight="1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</row>
    <row r="13" spans="1:16" ht="15" customHeight="1">
      <c r="A13" s="411" t="s">
        <v>896</v>
      </c>
      <c r="B13" s="124" t="s">
        <v>897</v>
      </c>
      <c r="C13" s="124"/>
      <c r="D13" s="406">
        <f>'Revenue Data Input'!F317</f>
        <v>734179.36000000103</v>
      </c>
      <c r="E13" s="406">
        <f>'Revenue Data Input'!G317</f>
        <v>383797.56999999803</v>
      </c>
      <c r="F13" s="406">
        <f>'Revenue Data Input'!H317</f>
        <v>300967.260000001</v>
      </c>
      <c r="G13" s="406">
        <f t="shared" ref="G13:P13" si="3">F13</f>
        <v>300967.260000001</v>
      </c>
      <c r="H13" s="406">
        <f t="shared" si="3"/>
        <v>300967.260000001</v>
      </c>
      <c r="I13" s="406">
        <f t="shared" si="3"/>
        <v>300967.260000001</v>
      </c>
      <c r="J13" s="406">
        <f t="shared" si="3"/>
        <v>300967.260000001</v>
      </c>
      <c r="K13" s="406">
        <f t="shared" si="3"/>
        <v>300967.260000001</v>
      </c>
      <c r="L13" s="406">
        <f t="shared" si="3"/>
        <v>300967.260000001</v>
      </c>
      <c r="M13" s="406">
        <f t="shared" si="3"/>
        <v>300967.260000001</v>
      </c>
      <c r="N13" s="406">
        <f t="shared" si="3"/>
        <v>300967.260000001</v>
      </c>
      <c r="O13" s="406">
        <f t="shared" si="3"/>
        <v>300967.260000001</v>
      </c>
      <c r="P13" s="406">
        <f t="shared" si="3"/>
        <v>300967.260000001</v>
      </c>
    </row>
    <row r="14" spans="1:16" ht="15" customHeight="1">
      <c r="B14" s="412" t="s">
        <v>17</v>
      </c>
      <c r="C14" s="413">
        <v>0.75</v>
      </c>
      <c r="D14" s="418"/>
      <c r="E14" s="418"/>
      <c r="F14" s="418"/>
      <c r="G14" s="418"/>
      <c r="H14" s="406">
        <f>'Pipeline Report'!L145</f>
        <v>15125</v>
      </c>
      <c r="I14" s="406">
        <f>'Pipeline Report'!M145</f>
        <v>55825</v>
      </c>
      <c r="J14" s="406">
        <f>'Pipeline Report'!N145</f>
        <v>73533.333333333314</v>
      </c>
      <c r="K14" s="406">
        <f>'Pipeline Report'!O145</f>
        <v>73533.333333333314</v>
      </c>
      <c r="L14" s="406">
        <f>'Pipeline Report'!P145</f>
        <v>73533.333333333314</v>
      </c>
      <c r="M14" s="406">
        <f>'Pipeline Report'!Q145</f>
        <v>73533.333333333314</v>
      </c>
      <c r="N14" s="406">
        <f>'Pipeline Report'!R145</f>
        <v>73533.333333333314</v>
      </c>
      <c r="O14" s="406">
        <f>'Pipeline Report'!S145</f>
        <v>73533.333333333314</v>
      </c>
      <c r="P14" s="406">
        <f>'Pipeline Report'!T145</f>
        <v>512149.99999999988</v>
      </c>
    </row>
    <row r="15" spans="1:16" ht="15" customHeight="1">
      <c r="B15" s="412" t="s">
        <v>16</v>
      </c>
      <c r="C15" s="413">
        <v>0.9</v>
      </c>
      <c r="D15" s="418"/>
      <c r="E15" s="418"/>
      <c r="F15" s="418"/>
      <c r="G15" s="418"/>
      <c r="H15" s="406">
        <f>'Pipeline Report'!L146</f>
        <v>41250</v>
      </c>
      <c r="I15" s="406">
        <f>'Pipeline Report'!M146</f>
        <v>91250</v>
      </c>
      <c r="J15" s="406">
        <f>'Pipeline Report'!N146</f>
        <v>91250</v>
      </c>
      <c r="K15" s="406">
        <f>'Pipeline Report'!O146</f>
        <v>91250</v>
      </c>
      <c r="L15" s="406">
        <f>'Pipeline Report'!P146</f>
        <v>91250</v>
      </c>
      <c r="M15" s="406">
        <f>'Pipeline Report'!Q146</f>
        <v>91250</v>
      </c>
      <c r="N15" s="406">
        <f>'Pipeline Report'!R146</f>
        <v>91250</v>
      </c>
      <c r="O15" s="406">
        <f>'Pipeline Report'!S146</f>
        <v>91250</v>
      </c>
      <c r="P15" s="406">
        <f>'Pipeline Report'!T146</f>
        <v>680000</v>
      </c>
    </row>
    <row r="16" spans="1:16" ht="15" customHeight="1">
      <c r="B16" s="412" t="s">
        <v>21</v>
      </c>
      <c r="C16" s="413">
        <v>1</v>
      </c>
      <c r="D16" s="418"/>
      <c r="E16" s="418"/>
      <c r="F16" s="418"/>
      <c r="G16" s="418"/>
      <c r="H16" s="406">
        <f>'Pipeline Report'!L147</f>
        <v>120554.16666666669</v>
      </c>
      <c r="I16" s="406">
        <f>'Pipeline Report'!M147</f>
        <v>120554.16666666669</v>
      </c>
      <c r="J16" s="406">
        <f>'Pipeline Report'!N147</f>
        <v>120554.16666666669</v>
      </c>
      <c r="K16" s="406">
        <f>'Pipeline Report'!O147</f>
        <v>120554.16666666669</v>
      </c>
      <c r="L16" s="406">
        <f>'Pipeline Report'!P147</f>
        <v>120554.16666666669</v>
      </c>
      <c r="M16" s="406">
        <f>'Pipeline Report'!Q147</f>
        <v>120554.16666666669</v>
      </c>
      <c r="N16" s="406">
        <f>'Pipeline Report'!R147</f>
        <v>120554.16666666669</v>
      </c>
      <c r="O16" s="406">
        <f>'Pipeline Report'!S147</f>
        <v>120554.16666666669</v>
      </c>
      <c r="P16" s="406">
        <f>'Pipeline Report'!T147</f>
        <v>964433.33333333372</v>
      </c>
    </row>
    <row r="17" spans="2:16" ht="22.5" customHeight="1">
      <c r="B17" s="409" t="s">
        <v>389</v>
      </c>
      <c r="C17" s="409"/>
      <c r="D17" s="410">
        <f>SUM(D13:D16)</f>
        <v>734179.36000000103</v>
      </c>
      <c r="E17" s="410">
        <f>SUM(E13:E16)</f>
        <v>383797.56999999803</v>
      </c>
      <c r="F17" s="410">
        <f>SUM(D17:E17)</f>
        <v>1117976.929999999</v>
      </c>
      <c r="G17" s="410">
        <f t="shared" ref="G17:O17" si="4">SUM(G13:G16)</f>
        <v>300967.260000001</v>
      </c>
      <c r="H17" s="410">
        <f t="shared" si="4"/>
        <v>477896.42666666768</v>
      </c>
      <c r="I17" s="410">
        <f t="shared" si="4"/>
        <v>568596.42666666768</v>
      </c>
      <c r="J17" s="410">
        <f t="shared" si="4"/>
        <v>586304.76000000094</v>
      </c>
      <c r="K17" s="410">
        <f t="shared" si="4"/>
        <v>586304.76000000094</v>
      </c>
      <c r="L17" s="410">
        <f t="shared" si="4"/>
        <v>586304.76000000094</v>
      </c>
      <c r="M17" s="410">
        <f t="shared" si="4"/>
        <v>586304.76000000094</v>
      </c>
      <c r="N17" s="410">
        <f t="shared" si="4"/>
        <v>586304.76000000094</v>
      </c>
      <c r="O17" s="410">
        <f t="shared" si="4"/>
        <v>586304.76000000094</v>
      </c>
      <c r="P17" s="410">
        <f>SUM(D17:O17)</f>
        <v>7101242.5333333388</v>
      </c>
    </row>
    <row r="18" spans="2:16" ht="15" customHeight="1">
      <c r="B18" s="124" t="s">
        <v>898</v>
      </c>
      <c r="C18" s="124"/>
      <c r="D18" s="406">
        <f>'Revenue Data Input'!T317</f>
        <v>30698.239121428702</v>
      </c>
      <c r="E18" s="406">
        <f>'Revenue Data Input'!U317</f>
        <v>223363.371821429</v>
      </c>
      <c r="F18" s="406">
        <f>'Revenue Data Input'!V317</f>
        <v>255134.63182142901</v>
      </c>
      <c r="G18" s="406">
        <f>'Revenue Data Input'!W317</f>
        <v>790477.30055158795</v>
      </c>
      <c r="H18" s="406">
        <f>'Revenue Data Input'!X317</f>
        <v>784100.30055158795</v>
      </c>
      <c r="I18" s="406">
        <f>'Revenue Data Input'!Y317</f>
        <v>937540.30055158795</v>
      </c>
      <c r="J18" s="406">
        <f>'Revenue Data Input'!Z317</f>
        <v>1636160.4066337801</v>
      </c>
      <c r="K18" s="406">
        <f>'Revenue Data Input'!AA317</f>
        <v>1540304.2897290201</v>
      </c>
      <c r="L18" s="406">
        <f>'Revenue Data Input'!AB317</f>
        <v>1581515.8797290199</v>
      </c>
      <c r="M18" s="406">
        <f>'Revenue Data Input'!AC317</f>
        <v>1843824.0740147301</v>
      </c>
      <c r="N18" s="406">
        <f>'Revenue Data Input'!AD317</f>
        <v>1921240.50401473</v>
      </c>
      <c r="O18" s="406">
        <f>'Revenue Data Input'!AE317</f>
        <v>2011502.81401473</v>
      </c>
      <c r="P18" s="407">
        <f>SUM(D18:O18)</f>
        <v>13555862.112555061</v>
      </c>
    </row>
    <row r="19" spans="2:16" ht="24" customHeight="1">
      <c r="B19" s="125" t="s">
        <v>895</v>
      </c>
      <c r="C19" s="124"/>
      <c r="D19" s="407">
        <f t="shared" ref="D19:P19" si="5">D17-D18</f>
        <v>703481.12087857234</v>
      </c>
      <c r="E19" s="407">
        <f t="shared" si="5"/>
        <v>160434.19817856903</v>
      </c>
      <c r="F19" s="417">
        <f t="shared" si="5"/>
        <v>862842.29817857</v>
      </c>
      <c r="G19" s="417">
        <f t="shared" si="5"/>
        <v>-489510.04055158695</v>
      </c>
      <c r="H19" s="417">
        <f t="shared" si="5"/>
        <v>-306203.87388492026</v>
      </c>
      <c r="I19" s="417">
        <f t="shared" si="5"/>
        <v>-368943.87388492026</v>
      </c>
      <c r="J19" s="417">
        <f t="shared" si="5"/>
        <v>-1049855.6466337792</v>
      </c>
      <c r="K19" s="417">
        <f t="shared" si="5"/>
        <v>-953999.52972901915</v>
      </c>
      <c r="L19" s="417">
        <f t="shared" si="5"/>
        <v>-995211.119729019</v>
      </c>
      <c r="M19" s="417">
        <f t="shared" si="5"/>
        <v>-1257519.3140147291</v>
      </c>
      <c r="N19" s="417">
        <f t="shared" si="5"/>
        <v>-1334935.744014729</v>
      </c>
      <c r="O19" s="417">
        <f t="shared" si="5"/>
        <v>-1425198.0540147291</v>
      </c>
      <c r="P19" s="417">
        <f t="shared" si="5"/>
        <v>-6454619.5792217217</v>
      </c>
    </row>
    <row r="20" spans="2:16" ht="15" customHeight="1"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</row>
    <row r="21" spans="2:16" ht="18" customHeight="1">
      <c r="B21" s="429" t="s">
        <v>899</v>
      </c>
      <c r="C21" s="429"/>
      <c r="D21" s="430"/>
      <c r="E21" s="429"/>
      <c r="F21" s="429"/>
      <c r="G21" s="429"/>
      <c r="H21" s="431">
        <f>'Pipeline Report'!L171</f>
        <v>72280</v>
      </c>
      <c r="I21" s="431">
        <f>'Pipeline Report'!M171</f>
        <v>64650</v>
      </c>
      <c r="J21" s="431">
        <f>'Pipeline Report'!N171</f>
        <v>64650</v>
      </c>
      <c r="K21" s="431">
        <f>'Pipeline Report'!O171</f>
        <v>64650</v>
      </c>
      <c r="L21" s="431">
        <f>'Pipeline Report'!P171</f>
        <v>64650</v>
      </c>
      <c r="M21" s="431">
        <f>'Pipeline Report'!Q171</f>
        <v>64650</v>
      </c>
      <c r="N21" s="431">
        <f>'Pipeline Report'!R171</f>
        <v>64650</v>
      </c>
      <c r="O21" s="431">
        <f>'Pipeline Report'!S171</f>
        <v>64650</v>
      </c>
      <c r="P21" s="431">
        <f>'Pipeline Report'!T171</f>
        <v>65603.75</v>
      </c>
    </row>
    <row r="22" spans="2:16" ht="15" customHeight="1">
      <c r="B22" s="124" t="s">
        <v>900</v>
      </c>
      <c r="C22" s="124"/>
      <c r="D22" s="420">
        <v>48</v>
      </c>
      <c r="E22" s="124"/>
      <c r="F22" s="124"/>
      <c r="G22" s="124"/>
      <c r="H22" s="419">
        <f>D22</f>
        <v>48</v>
      </c>
      <c r="I22" s="419">
        <f>D22</f>
        <v>48</v>
      </c>
      <c r="J22" s="419">
        <f>D22</f>
        <v>48</v>
      </c>
      <c r="K22" s="419">
        <f>D22</f>
        <v>48</v>
      </c>
      <c r="L22" s="419">
        <f>D22</f>
        <v>48</v>
      </c>
      <c r="M22" s="419">
        <f>D22</f>
        <v>48</v>
      </c>
      <c r="N22" s="419">
        <f>D22</f>
        <v>48</v>
      </c>
      <c r="O22" s="419">
        <f>D22</f>
        <v>48</v>
      </c>
      <c r="P22" s="419">
        <f>D22</f>
        <v>48</v>
      </c>
    </row>
    <row r="23" spans="2:16" ht="24" customHeight="1">
      <c r="B23" s="421" t="s">
        <v>901</v>
      </c>
      <c r="C23" s="422"/>
      <c r="D23" s="423">
        <f>D22*D21</f>
        <v>0</v>
      </c>
      <c r="E23" s="422"/>
      <c r="F23" s="422"/>
      <c r="G23" s="422"/>
      <c r="H23" s="424">
        <f t="shared" ref="H23:P23" si="6">H22*H21</f>
        <v>3469440</v>
      </c>
      <c r="I23" s="424">
        <f t="shared" si="6"/>
        <v>3103200</v>
      </c>
      <c r="J23" s="424">
        <f t="shared" si="6"/>
        <v>3103200</v>
      </c>
      <c r="K23" s="424">
        <f t="shared" si="6"/>
        <v>3103200</v>
      </c>
      <c r="L23" s="424">
        <f t="shared" si="6"/>
        <v>3103200</v>
      </c>
      <c r="M23" s="424">
        <f t="shared" si="6"/>
        <v>3103200</v>
      </c>
      <c r="N23" s="424">
        <f t="shared" si="6"/>
        <v>3103200</v>
      </c>
      <c r="O23" s="424">
        <f t="shared" si="6"/>
        <v>3103200</v>
      </c>
      <c r="P23" s="424">
        <f t="shared" si="6"/>
        <v>3148980</v>
      </c>
    </row>
    <row r="24" spans="2:16" ht="15" customHeight="1"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</row>
    <row r="25" spans="2:16" ht="15" customHeight="1"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</row>
    <row r="26" spans="2:16" ht="15" customHeight="1"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</row>
    <row r="27" spans="2:16" ht="15" customHeight="1"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</row>
    <row r="28" spans="2:16" ht="15" customHeight="1"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"/>
  <sheetViews>
    <sheetView zoomScaleNormal="100" workbookViewId="0"/>
  </sheetViews>
  <sheetFormatPr defaultColWidth="8.7109375" defaultRowHeight="15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Executive Dashboard</vt:lpstr>
      <vt:lpstr>Pipeline Report</vt:lpstr>
      <vt:lpstr>Pipeline Data Input</vt:lpstr>
      <vt:lpstr>Warehouse Pallet data input</vt:lpstr>
      <vt:lpstr>Revenue Data Input</vt:lpstr>
      <vt:lpstr>Closed-won data Input</vt:lpstr>
      <vt:lpstr>WH Revenue Data Input</vt:lpstr>
      <vt:lpstr>Forecast +75% - 100%</vt:lpstr>
      <vt:lpstr>Forecast +40% - 75%</vt:lpstr>
      <vt:lpstr>'Executive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Hano Oberholzer</cp:lastModifiedBy>
  <cp:revision>0</cp:revision>
  <dcterms:created xsi:type="dcterms:W3CDTF">2026-05-05T22:25:13Z</dcterms:created>
  <dcterms:modified xsi:type="dcterms:W3CDTF">2026-05-10T16:17:37Z</dcterms:modified>
  <dc:language>en-US</dc:language>
</cp:coreProperties>
</file>